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omments7.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backupFile="1" codeName="ThisWorkbook"/>
  <mc:AlternateContent xmlns:mc="http://schemas.openxmlformats.org/markup-compatibility/2006">
    <mc:Choice Requires="x15">
      <x15ac:absPath xmlns:x15ac="http://schemas.microsoft.com/office/spreadsheetml/2010/11/ac" url="https://sfwmdoffice-my.sharepoint.com/personal/mpowers_sfwmd_gov/Documents/Project Management/WQTT/Processing Time SxS/"/>
    </mc:Choice>
  </mc:AlternateContent>
  <xr:revisionPtr revIDLastSave="0" documentId="13_ncr:3_{6936EE0E-AF06-4529-9F1B-108C25B5BBFD}" xr6:coauthVersionLast="37" xr6:coauthVersionMax="37" xr10:uidLastSave="{00000000-0000-0000-0000-000000000000}"/>
  <workbookProtection workbookAlgorithmName="SHA-512" workbookHashValue="xMRgQIMOZ9lbvRvmwtZXbAfKc2KcrQYWyvXg2ZKc4DqHNwMTsXlK/IPPovkBBWjNykHyNqqLRCHlgn1Nn9lRJQ==" workbookSaltValue="VCT8f6soAqKqOAVQ2ixnhA==" workbookSpinCount="100000" lockStructure="1"/>
  <bookViews>
    <workbookView xWindow="0" yWindow="0" windowWidth="19200" windowHeight="11745" tabRatio="639" xr2:uid="{00000000-000D-0000-FFFF-FFFF00000000}"/>
  </bookViews>
  <sheets>
    <sheet name="Intro" sheetId="3" r:id="rId1"/>
    <sheet name="Main" sheetId="4" state="hidden" r:id="rId2"/>
    <sheet name="Admin" sheetId="9" state="hidden" r:id="rId3"/>
    <sheet name="Temp" sheetId="8" state="hidden" r:id="rId4"/>
    <sheet name="Field Test Report" sheetId="17" state="hidden" r:id="rId5"/>
    <sheet name="Notebook" sheetId="11" state="hidden" r:id="rId6"/>
    <sheet name="Chain Of Custody" sheetId="14" state="hidden" r:id="rId7"/>
    <sheet name="HydroLab" sheetId="16" state="hidden" r:id="rId8"/>
  </sheets>
  <functionGroups builtInGroupCount="19"/>
  <externalReferences>
    <externalReference r:id="rId9"/>
  </externalReferences>
  <definedNames>
    <definedName name="ConnectOK" localSheetId="6">'Chain Of Custody'!ConnectOK</definedName>
    <definedName name="ConnectOK" localSheetId="4">'Field Test Report'!ConnectOK</definedName>
    <definedName name="ConnectOK" localSheetId="7">HydroLab!ConnectOK</definedName>
    <definedName name="ConnectOK" localSheetId="0">Intro!ConnectOK</definedName>
    <definedName name="ConnectOK">[0]!ConnectOK</definedName>
    <definedName name="PHDissolvedOxygen" localSheetId="4">'Field Test Report'!#REF!</definedName>
    <definedName name="PHDissolvedOxygen" localSheetId="7">'[1]Field Test Report'!#REF!</definedName>
    <definedName name="PHDissolvedOxygen">#REF!</definedName>
    <definedName name="_xlnm.Print_Area" localSheetId="6">'Chain Of Custody'!$K$1:$Z$100</definedName>
    <definedName name="_xlnm.Print_Area" localSheetId="4">'Field Test Report'!$K$2:$U$29</definedName>
    <definedName name="_xlnm.Print_Area" localSheetId="5">Notebook!$K$2:$Z$28</definedName>
    <definedName name="_xlnm.Print_Titles" localSheetId="6">'Chain Of Custody'!$2:$13</definedName>
    <definedName name="_xlnm.Print_Titles" localSheetId="4">'Field Test Report'!$2:$7</definedName>
    <definedName name="_xlnm.Print_Titles" localSheetId="5">Notebook!$2:$14</definedName>
  </definedNames>
  <calcPr calcId="179021" refMode="R1C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O5" i="14" l="1"/>
  <c r="Q7" i="14"/>
  <c r="W7" i="14"/>
  <c r="P2" i="11"/>
  <c r="T2" i="11"/>
  <c r="X2" i="11"/>
  <c r="L3" i="11"/>
  <c r="N3" i="11"/>
  <c r="T3" i="11"/>
  <c r="X3" i="11"/>
  <c r="L4" i="11"/>
  <c r="T4" i="11"/>
  <c r="X4" i="11"/>
  <c r="L5" i="11"/>
  <c r="V6" i="11"/>
  <c r="Y6" i="11"/>
  <c r="L7" i="11"/>
  <c r="N7" i="11"/>
  <c r="L8" i="11"/>
  <c r="N8" i="11"/>
  <c r="S8" i="11"/>
  <c r="U8" i="11"/>
  <c r="X8" i="11"/>
  <c r="L9" i="11"/>
  <c r="S9" i="11"/>
  <c r="U9" i="11"/>
  <c r="X9" i="11"/>
  <c r="L10" i="11"/>
  <c r="N10" i="11"/>
  <c r="S10" i="11"/>
  <c r="U10" i="11"/>
  <c r="X10" i="11"/>
  <c r="N11" i="11"/>
  <c r="S11" i="11"/>
  <c r="U11" i="11"/>
  <c r="X11" i="11"/>
  <c r="L2" i="17"/>
  <c r="R2" i="17"/>
  <c r="L3" i="17"/>
  <c r="R3" i="17"/>
  <c r="L4" i="17"/>
  <c r="R4" i="17"/>
  <c r="L5" i="17"/>
  <c r="R5" i="17"/>
  <c r="AE34" i="4"/>
  <c r="AE84" i="4"/>
  <c r="AE109" i="4"/>
  <c r="AE134" i="4"/>
  <c r="AE159" i="4"/>
  <c r="AE184" i="4"/>
  <c r="C67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R. Cole</author>
    <author>Powers, Matthew</author>
    <author>Wilson, Jessica</author>
  </authors>
  <commentList>
    <comment ref="B33" authorId="0" shapeId="0" xr:uid="{00000000-0006-0000-0100-000009000000}">
      <text>
        <r>
          <rPr>
            <b/>
            <sz val="8"/>
            <color indexed="81"/>
            <rFont val="Tahoma"/>
            <family val="2"/>
          </rPr>
          <t>Identifies the section.</t>
        </r>
        <r>
          <rPr>
            <sz val="8"/>
            <color indexed="81"/>
            <rFont val="Tahoma"/>
            <family val="2"/>
          </rPr>
          <t xml:space="preserve">
</t>
        </r>
      </text>
    </comment>
    <comment ref="D33" authorId="0" shapeId="0" xr:uid="{00000000-0006-0000-0100-00000A000000}">
      <text>
        <r>
          <rPr>
            <b/>
            <sz val="8"/>
            <color indexed="81"/>
            <rFont val="Tahoma"/>
            <family val="2"/>
          </rPr>
          <t>If a value is suppose to occupy this cell, then this value will be set to TRUE (-1) or FALSE (0 - zero).
This will be used to "skip" over intentionally left blank rows</t>
        </r>
      </text>
    </comment>
    <comment ref="E33" authorId="0" shapeId="0" xr:uid="{00000000-0006-0000-0100-00000B000000}">
      <text>
        <r>
          <rPr>
            <b/>
            <sz val="8"/>
            <color indexed="81"/>
            <rFont val="Tahoma"/>
            <family val="2"/>
          </rPr>
          <t>If this value is set to FALSE (0 zero), this row will be always hidden. If set to TRUE (-1), this row will be visible. This is used to hide rows within a section that are not used.
NOTE: This is not applicable for Section #1.</t>
        </r>
      </text>
    </comment>
    <comment ref="F33" authorId="0" shapeId="0" xr:uid="{00000000-0006-0000-0100-00000C000000}">
      <text>
        <r>
          <rPr>
            <b/>
            <sz val="8"/>
            <color indexed="81"/>
            <rFont val="Tahoma"/>
            <family val="2"/>
          </rPr>
          <t>These values are used during the "calculation" process. DO NOT alter these values. These are used in lieu of the acode which could change. Changing these values will corrupt the calculations!!</t>
        </r>
      </text>
    </comment>
    <comment ref="G33" authorId="0" shapeId="0" xr:uid="{00000000-0006-0000-0100-00000D000000}">
      <text>
        <r>
          <rPr>
            <b/>
            <sz val="8"/>
            <color indexed="81"/>
            <rFont val="Tahoma"/>
            <family val="2"/>
          </rPr>
          <t>See Container in Column 23</t>
        </r>
        <r>
          <rPr>
            <sz val="8"/>
            <color indexed="81"/>
            <rFont val="Tahoma"/>
            <family val="2"/>
          </rPr>
          <t xml:space="preserve">
</t>
        </r>
      </text>
    </comment>
    <comment ref="H33" authorId="0" shapeId="0" xr:uid="{00000000-0006-0000-0100-00000E000000}">
      <text>
        <r>
          <rPr>
            <b/>
            <sz val="8"/>
            <color indexed="81"/>
            <rFont val="Tahoma"/>
            <family val="2"/>
          </rPr>
          <t>Controls the "SET" portion of the SQL Update Statement.
(S) String Value
(N) Numeric Value
(D) Date Value</t>
        </r>
      </text>
    </comment>
    <comment ref="I33" authorId="0" shapeId="0" xr:uid="{00000000-0006-0000-0100-00000F000000}">
      <text>
        <r>
          <rPr>
            <b/>
            <sz val="8"/>
            <color indexed="81"/>
            <rFont val="Tahoma"/>
            <family val="2"/>
          </rPr>
          <t>Controls the "WHERE" portion of the SQL Update Statement.
(S) String Value
(N) Numeric Value
(D) Date Value</t>
        </r>
        <r>
          <rPr>
            <sz val="8"/>
            <color indexed="81"/>
            <rFont val="Tahoma"/>
            <family val="2"/>
          </rPr>
          <t xml:space="preserve">
</t>
        </r>
      </text>
    </comment>
    <comment ref="J33" authorId="0" shapeId="0" xr:uid="{00000000-0006-0000-0100-000010000000}">
      <text>
        <r>
          <rPr>
            <b/>
            <sz val="8"/>
            <color indexed="81"/>
            <rFont val="Tahoma"/>
            <family val="2"/>
          </rPr>
          <t>Denotes which object the comment will be attached to:
(W) Workorder
(S) Sample
(P) Parameter
(empty) Ignored</t>
        </r>
      </text>
    </comment>
    <comment ref="K33" authorId="0" shapeId="0" xr:uid="{00000000-0006-0000-0100-000011000000}">
      <text>
        <r>
          <rPr>
            <b/>
            <sz val="8"/>
            <color indexed="81"/>
            <rFont val="Tahoma"/>
            <family val="2"/>
          </rPr>
          <t>Data type class - used by Non-SQL requirements.
(D) Date/Time
(S) String
(N) Numeric</t>
        </r>
        <r>
          <rPr>
            <sz val="8"/>
            <color indexed="81"/>
            <rFont val="Tahoma"/>
            <family val="2"/>
          </rPr>
          <t xml:space="preserve">
</t>
        </r>
      </text>
    </comment>
    <comment ref="L33" authorId="0" shapeId="0" xr:uid="{00000000-0006-0000-0100-000012000000}">
      <text>
        <r>
          <rPr>
            <b/>
            <sz val="8"/>
            <color indexed="81"/>
            <rFont val="Tahoma"/>
            <family val="2"/>
          </rPr>
          <t xml:space="preserve">(R) Data Retrieved from HORIZON - Read Only
(H) User-Supplied HORIZON Data - Updateable
(U) User-Supplied Aux Data - Updateable
(A) HORIZON-Supplied Aux Data - Read Only (Unless NEW Sample)
(P) Parameter Result Data - Updateable
(Z) This parameter is a "date analyzed" value
(empty) Ignored during Delivery (Upload)
</t>
        </r>
      </text>
    </comment>
    <comment ref="M33" authorId="0" shapeId="0" xr:uid="{00000000-0006-0000-0100-000013000000}">
      <text>
        <r>
          <rPr>
            <b/>
            <sz val="8"/>
            <color indexed="81"/>
            <rFont val="Tahoma"/>
            <family val="2"/>
          </rPr>
          <t>When time to Deliver to HORIZON, is this value delivered/sent?
(Y)es; (O)ptional or (empty).
Note: if the cell is NOT blacked-out, then a (Y) represents a required value. 
(O)ptional - a value is not required - if a value is present, it will be uploaded.</t>
        </r>
      </text>
    </comment>
    <comment ref="N33" authorId="0" shapeId="0" xr:uid="{00000000-0006-0000-0100-000014000000}">
      <text>
        <r>
          <rPr>
            <b/>
            <sz val="8"/>
            <color indexed="81"/>
            <rFont val="Tahoma"/>
            <family val="2"/>
          </rPr>
          <t>If this cell has a value, it will be displayed when the worksheet is created.</t>
        </r>
      </text>
    </comment>
    <comment ref="O33" authorId="0" shapeId="0" xr:uid="{00000000-0006-0000-0100-000015000000}">
      <text>
        <r>
          <rPr>
            <b/>
            <sz val="8"/>
            <color indexed="81"/>
            <rFont val="Tahoma"/>
            <family val="2"/>
          </rPr>
          <t>If this cell has a value, it points to the cell "range" where the LOV exists.
Example format is:  '=R197C16
The program will automatically decipher the "length" of the list based on the starting row and col position.
Be sure to precede the value with a single quote in the Excel cell, otherwise it will think it's a formula.
This cell can also be used for "between" validation where a low and high limit exists.
Example format is: '#100&gt;&lt;200
The value 100 is considered the "low" limit and "200" is the "high" limit.
SPECIAL NOTE: For Section 1 entries only - the LOV's used by this section are controlled by COMBO List objects. Therefore, unlike standard Excel Validation, they can "point" to a list on a different worksheet. Therefore, for Section 1 only, the format must be:
Example format: '=Admin!R198C5:R205C6
Some cells may want to take advantage of a "popup calendar". If this is the case, then enter "CALENDAR" in this cell.
A specific (known) list of values can be employed. E.g., OLD,NEW,YOUNG,DEAD can be entered into the cell to create a list of 4 items.</t>
        </r>
      </text>
    </comment>
    <comment ref="P33" authorId="0" shapeId="0" xr:uid="{00000000-0006-0000-0100-000016000000}">
      <text>
        <r>
          <rPr>
            <b/>
            <sz val="8"/>
            <color indexed="81"/>
            <rFont val="Tahoma"/>
            <family val="2"/>
          </rPr>
          <t>A (Y)es in this cell indicates that the  value is to be used to look up an alternate value to store in HORIZON. 
This will be used primarily by Aux Data fields where the cryptic code is not useful in this application. The user-friendly value can be used and mapped to an alternate value for HORIZON.
This will only be processed if there is a legitimate value in column named "LOV Location"</t>
        </r>
        <r>
          <rPr>
            <sz val="8"/>
            <color indexed="81"/>
            <rFont val="Tahoma"/>
            <family val="2"/>
          </rPr>
          <t xml:space="preserve">
</t>
        </r>
      </text>
    </comment>
    <comment ref="Q33" authorId="0" shapeId="0" xr:uid="{00000000-0006-0000-0100-000017000000}">
      <text>
        <r>
          <rPr>
            <b/>
            <sz val="8"/>
            <color indexed="81"/>
            <rFont val="Tahoma"/>
            <family val="2"/>
          </rPr>
          <t>If Type = "D", then the value in this cell will have the name of the data table where the requested data will be queried.</t>
        </r>
        <r>
          <rPr>
            <sz val="8"/>
            <color indexed="81"/>
            <rFont val="Tahoma"/>
            <family val="2"/>
          </rPr>
          <t xml:space="preserve">
</t>
        </r>
      </text>
    </comment>
    <comment ref="S33" authorId="0" shapeId="0" xr:uid="{00000000-0006-0000-0100-000018000000}">
      <text>
        <r>
          <rPr>
            <b/>
            <sz val="8"/>
            <color indexed="81"/>
            <rFont val="Tahoma"/>
            <family val="2"/>
          </rPr>
          <t>Row number containing the field label and key value to query the data for this line item. The same field label and key value will be used to subsequently update if this line item requires output to HORIZON.
Key01: HSN: 21
Key02: REQNBR: 22
Key03: SCHEDULE_SAMPLE_SEQ: 24
Key04:
Key05:
Key06:
Key07:
Key08:
Key09:
Key10:
Key11:
Key12:</t>
        </r>
      </text>
    </comment>
    <comment ref="T33" authorId="0" shapeId="0" xr:uid="{00000000-0006-0000-0100-000019000000}">
      <text>
        <r>
          <rPr>
            <b/>
            <sz val="8"/>
            <color indexed="81"/>
            <rFont val="Tahoma"/>
            <family val="2"/>
          </rPr>
          <t>The type of Aux Data:
(A)dress; (C)lient; Line (I)tem; Pre(L)ogin; L(O)cations; (P)Workorder; (R)Profile; (S)ample</t>
        </r>
        <r>
          <rPr>
            <sz val="8"/>
            <color indexed="81"/>
            <rFont val="Tahoma"/>
            <family val="2"/>
          </rPr>
          <t xml:space="preserve">
</t>
        </r>
      </text>
    </comment>
    <comment ref="W33" authorId="0" shapeId="0" xr:uid="{00000000-0006-0000-0100-00001A000000}">
      <text>
        <r>
          <rPr>
            <b/>
            <sz val="8"/>
            <color indexed="81"/>
            <rFont val="Tahoma"/>
            <family val="2"/>
          </rPr>
          <t>This value represents the container that has been assigned to the Acode. In Section 4 - Field Test, this value is assigned manually. In Section 6 - Lab Tests, this value is assigned programmatically.</t>
        </r>
        <r>
          <rPr>
            <sz val="8"/>
            <color indexed="81"/>
            <rFont val="Tahoma"/>
            <family val="2"/>
          </rPr>
          <t xml:space="preserve">
</t>
        </r>
      </text>
    </comment>
    <comment ref="AB33" authorId="0" shapeId="0" xr:uid="{00000000-0006-0000-0100-00001B000000}">
      <text>
        <r>
          <rPr>
            <b/>
            <sz val="8"/>
            <color indexed="81"/>
            <rFont val="Tahoma"/>
            <family val="2"/>
          </rPr>
          <t xml:space="preserve">If the Sampling Method "code" is NOT in this list, then "Black Out" this parameter for this sample. For more than one value, use a comma WITHOUT a space between values:
E.g., QC, AB, PIC, UF
There are other factors that will "black out" a cell, but this has the highest precedence.
</t>
        </r>
        <r>
          <rPr>
            <sz val="8"/>
            <color indexed="81"/>
            <rFont val="Tahoma"/>
            <family val="2"/>
          </rPr>
          <t xml:space="preserve">
</t>
        </r>
      </text>
    </comment>
    <comment ref="AC33" authorId="0" shapeId="0" xr:uid="{00000000-0006-0000-0100-00001C000000}">
      <text>
        <r>
          <rPr>
            <b/>
            <sz val="8"/>
            <color indexed="81"/>
            <rFont val="Tahoma"/>
            <family val="2"/>
          </rPr>
          <t>Used exclusively by Sections 4 &amp; 6. Contains the 10 character acode from HORIZON.
For Section 4 - Field Parameters - if using a MAPPED acode in HORIZON, list the constituent acodes - do not enter the "parent" acode. If using a single acode to represent all of the field parameters, then enter the single (same) acode for each parameter.</t>
        </r>
        <r>
          <rPr>
            <sz val="8"/>
            <color indexed="81"/>
            <rFont val="Tahoma"/>
            <family val="2"/>
          </rPr>
          <t xml:space="preserve">
</t>
        </r>
      </text>
    </comment>
    <comment ref="U42" authorId="0" shapeId="0" xr:uid="{00000000-0006-0000-0100-00001D000000}">
      <text>
        <r>
          <rPr>
            <b/>
            <sz val="8"/>
            <color indexed="81"/>
            <rFont val="Tahoma"/>
            <family val="2"/>
          </rPr>
          <t>This is a custom request for this client. This AUX_DATA is used to store an "instrument ID" data that is later used to populate the RUN_INSTRU field in INSTRU_HEADERS. If the role, nature or characteristics of this field changes, then this functionality may be rendered useless. In other words, whereever this field goes, so should go these settings.
If this specific AUX_DATA is not defined, then the RUN_INSTRU field is ignored.</t>
        </r>
        <r>
          <rPr>
            <sz val="8"/>
            <color indexed="81"/>
            <rFont val="Tahoma"/>
            <family val="2"/>
          </rPr>
          <t xml:space="preserve">
</t>
        </r>
      </text>
    </comment>
    <comment ref="AE84" authorId="0" shapeId="0" xr:uid="{00000000-0006-0000-0100-00001E000000}">
      <text>
        <r>
          <rPr>
            <b/>
            <sz val="8"/>
            <color indexed="81"/>
            <rFont val="Tahoma"/>
            <family val="2"/>
          </rPr>
          <t xml:space="preserve">
General</t>
        </r>
        <r>
          <rPr>
            <sz val="8"/>
            <color indexed="81"/>
            <rFont val="Tahoma"/>
            <family val="2"/>
          </rPr>
          <t xml:space="preserve">
Production samples</t>
        </r>
      </text>
    </comment>
    <comment ref="AP84" authorId="1" shapeId="0" xr:uid="{6F597970-7D06-440E-A78F-9DBA4C606D11}">
      <text>
        <r>
          <rPr>
            <sz val="9"/>
            <color indexed="81"/>
            <rFont val="Tahoma"/>
            <family val="2"/>
          </rPr>
          <t>WARNING: Time exceeds +/- 1 Hour(s). Samples preserved within 24 hours. Processing started 10:23am</t>
        </r>
      </text>
    </comment>
    <comment ref="AQ84" authorId="1" shapeId="0" xr:uid="{8B062975-A32F-4F79-8C34-D6BDF712039A}">
      <text>
        <r>
          <rPr>
            <sz val="9"/>
            <color indexed="81"/>
            <rFont val="Tahoma"/>
            <family val="2"/>
          </rPr>
          <t>WARNING: Time exceeds +/- 1 Hour(s). Samples preserved within 24 hours. Processing started 11:06am</t>
        </r>
      </text>
    </comment>
    <comment ref="AR84" authorId="2" shapeId="0" xr:uid="{B69E9202-2F85-4B78-BB90-2B35877A7941}">
      <text>
        <r>
          <rPr>
            <sz val="9"/>
            <color indexed="81"/>
            <rFont val="Tahoma"/>
            <family val="2"/>
          </rPr>
          <t>WARNING: Time exceeds +/- 1 Hour(s). Samples preserved within 24 hours. Processing started 11:42am</t>
        </r>
      </text>
    </comment>
    <comment ref="AS84" authorId="2" shapeId="0" xr:uid="{81F8F0C2-024A-4CE0-9505-1C94AE23B5A8}">
      <text>
        <r>
          <rPr>
            <sz val="9"/>
            <color indexed="81"/>
            <rFont val="Tahoma"/>
            <family val="2"/>
          </rPr>
          <t>WARNING: Time exceeds +/- 1 Hour(s). Samples preserved within 24 hours. Processing started 12:37 pm</t>
        </r>
      </text>
    </comment>
    <comment ref="AT84" authorId="2" shapeId="0" xr:uid="{1B696FD8-80B3-4265-9FD0-694F70340335}">
      <text>
        <r>
          <rPr>
            <sz val="9"/>
            <color indexed="81"/>
            <rFont val="Tahoma"/>
            <family val="2"/>
          </rPr>
          <t>WARNING: Time exceeds +/- 1 Hour(s). Samples preserved within 24 hours. Processing started 1:10pm</t>
        </r>
      </text>
    </comment>
    <comment ref="AU84" authorId="2" shapeId="0" xr:uid="{4030AB81-FF82-438B-BE87-515029B29DEA}">
      <text>
        <r>
          <rPr>
            <sz val="9"/>
            <color indexed="81"/>
            <rFont val="Tahoma"/>
            <family val="2"/>
          </rPr>
          <t>WARNING: Time exceeds +/- 1 Hour(s). Samples preserved within 24 hours. Processing started 1:47 pm</t>
        </r>
      </text>
    </comment>
    <comment ref="AV84" authorId="2" shapeId="0" xr:uid="{29FEABCE-AD29-4E61-A78F-993A19C6FAF8}">
      <text>
        <r>
          <rPr>
            <sz val="9"/>
            <color indexed="81"/>
            <rFont val="Tahoma"/>
            <family val="2"/>
          </rPr>
          <t>WARNING: Time exceeds +/- 1 Hour(s). Samples preserved within 24 hours. Processing started 10:00am</t>
        </r>
      </text>
    </comment>
    <comment ref="AE109" authorId="0" shapeId="0" xr:uid="{00000000-0006-0000-0100-00001F000000}">
      <text>
        <r>
          <rPr>
            <b/>
            <sz val="8"/>
            <color indexed="81"/>
            <rFont val="Tahoma"/>
            <family val="2"/>
          </rPr>
          <t xml:space="preserve">
Auto Sampler</t>
        </r>
        <r>
          <rPr>
            <sz val="8"/>
            <color indexed="81"/>
            <rFont val="Tahoma"/>
            <family val="2"/>
          </rPr>
          <t xml:space="preserve">
Parameters</t>
        </r>
      </text>
    </comment>
    <comment ref="AE134" authorId="0" shapeId="0" xr:uid="{00000000-0006-0000-0100-000020000000}">
      <text>
        <r>
          <rPr>
            <b/>
            <sz val="8"/>
            <color indexed="81"/>
            <rFont val="Tahoma"/>
            <family val="2"/>
          </rPr>
          <t xml:space="preserve">
Field Tests</t>
        </r>
        <r>
          <rPr>
            <sz val="8"/>
            <color indexed="81"/>
            <rFont val="Tahoma"/>
            <family val="2"/>
          </rPr>
          <t xml:space="preserve">
Production Samples</t>
        </r>
      </text>
    </comment>
    <comment ref="AB140" authorId="0" shapeId="0" xr:uid="{00000000-0006-0000-0100-000021000000}">
      <text>
        <r>
          <rPr>
            <b/>
            <sz val="8"/>
            <color indexed="81"/>
            <rFont val="Tahoma"/>
            <family val="2"/>
          </rPr>
          <t>SCR:15218 - Left deliberately blank. If any one of the field parameters are being requested, this "black out" will be lifted for the date analyzed on the current sample.</t>
        </r>
        <r>
          <rPr>
            <sz val="8"/>
            <color indexed="81"/>
            <rFont val="Tahoma"/>
            <family val="2"/>
          </rPr>
          <t xml:space="preserve">
</t>
        </r>
      </text>
    </comment>
    <comment ref="AE159" authorId="0" shapeId="0" xr:uid="{00000000-0006-0000-0100-000022000000}">
      <text>
        <r>
          <rPr>
            <b/>
            <sz val="8"/>
            <color indexed="81"/>
            <rFont val="Tahoma"/>
            <family val="2"/>
          </rPr>
          <t xml:space="preserve">
Opening &amp; Closing Control Samples</t>
        </r>
        <r>
          <rPr>
            <sz val="8"/>
            <color indexed="81"/>
            <rFont val="Tahoma"/>
            <family val="2"/>
          </rPr>
          <t xml:space="preserve">
</t>
        </r>
      </text>
    </comment>
    <comment ref="AE184" authorId="0" shapeId="0" xr:uid="{00000000-0006-0000-0100-000023000000}">
      <text>
        <r>
          <rPr>
            <b/>
            <sz val="8"/>
            <color indexed="81"/>
            <rFont val="Tahoma"/>
            <family val="2"/>
          </rPr>
          <t xml:space="preserve">
Lab Tests</t>
        </r>
        <r>
          <rPr>
            <sz val="8"/>
            <color indexed="81"/>
            <rFont val="Tahoma"/>
            <family val="2"/>
          </rPr>
          <t xml:space="preserve">
Description (container/preservative)</t>
        </r>
      </text>
    </comment>
    <comment ref="A650" authorId="0" shapeId="0" xr:uid="{00000000-0006-0000-0100-000024000000}">
      <text>
        <r>
          <rPr>
            <b/>
            <sz val="8"/>
            <color indexed="81"/>
            <rFont val="Tahoma"/>
            <family val="2"/>
          </rPr>
          <t>User-defined - Statuses for Control Samples only!</t>
        </r>
        <r>
          <rPr>
            <sz val="8"/>
            <color indexed="81"/>
            <rFont val="Tahoma"/>
            <family val="2"/>
          </rPr>
          <t xml:space="preserve">
</t>
        </r>
      </text>
    </comment>
    <comment ref="B650" authorId="0" shapeId="0" xr:uid="{00000000-0006-0000-0100-000025000000}">
      <text>
        <r>
          <rPr>
            <b/>
            <sz val="8"/>
            <color indexed="81"/>
            <rFont val="Tahoma"/>
            <family val="2"/>
          </rPr>
          <t>User-defined</t>
        </r>
      </text>
    </comment>
    <comment ref="E650" authorId="0" shapeId="0" xr:uid="{00000000-0006-0000-0100-000026000000}">
      <text>
        <r>
          <rPr>
            <b/>
            <sz val="8"/>
            <color indexed="81"/>
            <rFont val="Tahoma"/>
            <family val="2"/>
          </rPr>
          <t>System-supplied from AUX_DATA (COLL)</t>
        </r>
        <r>
          <rPr>
            <sz val="8"/>
            <color indexed="81"/>
            <rFont val="Tahoma"/>
            <family val="2"/>
          </rPr>
          <t xml:space="preserve">
</t>
        </r>
      </text>
    </comment>
    <comment ref="G650" authorId="0" shapeId="0" xr:uid="{00000000-0006-0000-0100-000027000000}">
      <text>
        <r>
          <rPr>
            <b/>
            <sz val="8"/>
            <color indexed="81"/>
            <rFont val="Tahoma"/>
            <family val="2"/>
          </rPr>
          <t>System-supplied from AUX_DATA (DISC)</t>
        </r>
      </text>
    </comment>
    <comment ref="I650" authorId="0" shapeId="0" xr:uid="{00000000-0006-0000-0100-000028000000}">
      <text>
        <r>
          <rPr>
            <b/>
            <sz val="8"/>
            <color indexed="81"/>
            <rFont val="Tahoma"/>
            <family val="2"/>
          </rPr>
          <t>System-supplied from AUX_DATA (UPDN)</t>
        </r>
        <r>
          <rPr>
            <sz val="8"/>
            <color indexed="81"/>
            <rFont val="Tahoma"/>
            <family val="2"/>
          </rPr>
          <t xml:space="preserve">
</t>
        </r>
      </text>
    </comment>
    <comment ref="K650" authorId="0" shapeId="0" xr:uid="{00000000-0006-0000-0100-000029000000}">
      <text>
        <r>
          <rPr>
            <b/>
            <sz val="8"/>
            <color indexed="81"/>
            <rFont val="Tahoma"/>
            <family val="2"/>
          </rPr>
          <t>System-supplied from AUX_DATA (WTHR)</t>
        </r>
      </text>
    </comment>
    <comment ref="M650" authorId="0" shapeId="0" xr:uid="{00000000-0006-0000-0100-00002A000000}">
      <text>
        <r>
          <rPr>
            <b/>
            <sz val="8"/>
            <color indexed="81"/>
            <rFont val="Tahoma"/>
            <family val="2"/>
          </rPr>
          <t>System-supplied from AUX_DATA (MATX)</t>
        </r>
        <r>
          <rPr>
            <sz val="8"/>
            <color indexed="81"/>
            <rFont val="Tahoma"/>
            <family val="2"/>
          </rPr>
          <t xml:space="preserve">
</t>
        </r>
      </text>
    </comment>
    <comment ref="A660" authorId="0" shapeId="0" xr:uid="{00000000-0006-0000-0100-00002B000000}">
      <text>
        <r>
          <rPr>
            <b/>
            <sz val="8"/>
            <color indexed="81"/>
            <rFont val="Tahoma"/>
            <family val="2"/>
          </rPr>
          <t>User-defined - Statuses for Production Samples Only</t>
        </r>
      </text>
    </comment>
    <comment ref="B660" authorId="0" shapeId="0" xr:uid="{00000000-0006-0000-0100-00002C000000}">
      <text>
        <r>
          <rPr>
            <b/>
            <sz val="8"/>
            <color indexed="81"/>
            <rFont val="Tahoma"/>
            <family val="2"/>
          </rPr>
          <t>User-defined - Statuses for "NEW" Production Samples Only</t>
        </r>
      </text>
    </comment>
    <comment ref="B672" authorId="0" shapeId="0" xr:uid="{00000000-0006-0000-0100-00002D000000}">
      <text>
        <r>
          <rPr>
            <b/>
            <sz val="8"/>
            <color indexed="81"/>
            <rFont val="Tahoma"/>
            <family val="2"/>
          </rPr>
          <t>User-defined status codes for Lab Tests.</t>
        </r>
      </text>
    </comment>
    <comment ref="C672" authorId="0" shapeId="0" xr:uid="{00000000-0006-0000-0100-00002E000000}">
      <text>
        <r>
          <rPr>
            <b/>
            <sz val="8"/>
            <color indexed="81"/>
            <rFont val="Tahoma"/>
            <family val="2"/>
          </rPr>
          <t>System-defined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R. Cole</author>
    <author>Tom Cole</author>
    <author>dstruve</author>
  </authors>
  <commentList>
    <comment ref="E2" authorId="0" shapeId="0" xr:uid="{00000000-0006-0000-0200-000001000000}">
      <text>
        <r>
          <rPr>
            <b/>
            <sz val="8"/>
            <color indexed="81"/>
            <rFont val="Tahoma"/>
            <family val="2"/>
          </rPr>
          <t>This value is fixed. Do not modify!</t>
        </r>
        <r>
          <rPr>
            <sz val="8"/>
            <color indexed="81"/>
            <rFont val="Tahoma"/>
            <family val="2"/>
          </rPr>
          <t xml:space="preserve">
</t>
        </r>
      </text>
    </comment>
    <comment ref="F2" authorId="0" shapeId="0" xr:uid="{00000000-0006-0000-0200-000002000000}">
      <text>
        <r>
          <rPr>
            <b/>
            <sz val="8"/>
            <color indexed="81"/>
            <rFont val="Tahoma"/>
            <family val="2"/>
          </rPr>
          <t>This value is updated programmatically. Do not alter manually.</t>
        </r>
        <r>
          <rPr>
            <sz val="8"/>
            <color indexed="81"/>
            <rFont val="Tahoma"/>
            <family val="2"/>
          </rPr>
          <t xml:space="preserve">
</t>
        </r>
      </text>
    </comment>
    <comment ref="G2" authorId="0" shapeId="0" xr:uid="{00000000-0006-0000-0200-000003000000}">
      <text>
        <r>
          <rPr>
            <b/>
            <sz val="8"/>
            <color indexed="81"/>
            <rFont val="Tahoma"/>
            <family val="2"/>
          </rPr>
          <t>This value is updated programmatically. Do not alter manually.</t>
        </r>
        <r>
          <rPr>
            <sz val="8"/>
            <color indexed="81"/>
            <rFont val="Tahoma"/>
            <family val="2"/>
          </rPr>
          <t xml:space="preserve">
</t>
        </r>
      </text>
    </comment>
    <comment ref="H2" authorId="0" shapeId="0" xr:uid="{00000000-0006-0000-0200-000004000000}">
      <text>
        <r>
          <rPr>
            <b/>
            <sz val="8"/>
            <color indexed="81"/>
            <rFont val="Tahoma"/>
            <family val="2"/>
          </rPr>
          <t>This value is updated programmatically. Do not alter manually.</t>
        </r>
        <r>
          <rPr>
            <sz val="8"/>
            <color indexed="81"/>
            <rFont val="Tahoma"/>
            <family val="2"/>
          </rPr>
          <t xml:space="preserve">
</t>
        </r>
      </text>
    </comment>
    <comment ref="I2" authorId="0" shapeId="0" xr:uid="{00000000-0006-0000-0200-000005000000}">
      <text>
        <r>
          <rPr>
            <b/>
            <sz val="8"/>
            <color indexed="81"/>
            <rFont val="Tahoma"/>
            <family val="2"/>
          </rPr>
          <t>TRUE = -1, FALSE = 0
This value is updated programmatically. Do not alter manually.</t>
        </r>
        <r>
          <rPr>
            <sz val="8"/>
            <color indexed="81"/>
            <rFont val="Tahoma"/>
            <family val="2"/>
          </rPr>
          <t xml:space="preserve">
</t>
        </r>
      </text>
    </comment>
    <comment ref="L2" authorId="0" shapeId="0" xr:uid="{00000000-0006-0000-0200-000006000000}">
      <text>
        <r>
          <rPr>
            <b/>
            <sz val="8"/>
            <color indexed="81"/>
            <rFont val="Tahoma"/>
            <family val="2"/>
          </rPr>
          <t>Used by the Main Worksheet Change Event. If "TRUE" then the change is occuring locally on the Main Worksheet. If "FALSE", then the change is ocurring from another location (like HydroLab).
Value is updated programmatically.</t>
        </r>
        <r>
          <rPr>
            <sz val="8"/>
            <color indexed="81"/>
            <rFont val="Tahoma"/>
            <family val="2"/>
          </rPr>
          <t xml:space="preserve">
</t>
        </r>
      </text>
    </comment>
    <comment ref="D3" authorId="0" shapeId="0" xr:uid="{00000000-0006-0000-0200-000007000000}">
      <text>
        <r>
          <rPr>
            <b/>
            <sz val="8"/>
            <color indexed="81"/>
            <rFont val="Tahoma"/>
            <family val="2"/>
          </rPr>
          <t>Used as Section Title on Main Worksheet.
This Section is always hidden. It is used to "project" data labels and data to DAO objects.
All programming in this app assumes this section is and will remain hidden.</t>
        </r>
      </text>
    </comment>
    <comment ref="G3" authorId="0" shapeId="0" xr:uid="{00000000-0006-0000-0200-000008000000}">
      <text>
        <r>
          <rPr>
            <b/>
            <sz val="8"/>
            <color indexed="81"/>
            <rFont val="Tahoma"/>
            <family val="2"/>
          </rPr>
          <t>This value is set by the Administrator and must not be altered unless the starting row changes.</t>
        </r>
        <r>
          <rPr>
            <sz val="8"/>
            <color indexed="81"/>
            <rFont val="Tahoma"/>
            <family val="2"/>
          </rPr>
          <t xml:space="preserve">
</t>
        </r>
      </text>
    </comment>
    <comment ref="D4" authorId="0" shapeId="0" xr:uid="{00000000-0006-0000-0200-000009000000}">
      <text>
        <r>
          <rPr>
            <b/>
            <sz val="8"/>
            <color indexed="81"/>
            <rFont val="Tahoma"/>
            <family val="2"/>
          </rPr>
          <t>Used as Section Title on Main Worksheet.</t>
        </r>
        <r>
          <rPr>
            <sz val="8"/>
            <color indexed="81"/>
            <rFont val="Tahoma"/>
            <family val="2"/>
          </rPr>
          <t xml:space="preserve">
</t>
        </r>
      </text>
    </comment>
    <comment ref="D5" authorId="0" shapeId="0" xr:uid="{00000000-0006-0000-0200-00000A000000}">
      <text>
        <r>
          <rPr>
            <b/>
            <sz val="8"/>
            <color indexed="81"/>
            <rFont val="Tahoma"/>
            <family val="2"/>
          </rPr>
          <t>Used as Section Title on Main Worksheet.</t>
        </r>
        <r>
          <rPr>
            <sz val="8"/>
            <color indexed="81"/>
            <rFont val="Tahoma"/>
            <family val="2"/>
          </rPr>
          <t xml:space="preserve">
</t>
        </r>
      </text>
    </comment>
    <comment ref="D6" authorId="0" shapeId="0" xr:uid="{00000000-0006-0000-0200-00000B000000}">
      <text>
        <r>
          <rPr>
            <b/>
            <sz val="8"/>
            <color indexed="81"/>
            <rFont val="Tahoma"/>
            <family val="2"/>
          </rPr>
          <t>Used as Section Title on Main Worksheet.</t>
        </r>
        <r>
          <rPr>
            <sz val="8"/>
            <color indexed="81"/>
            <rFont val="Tahoma"/>
            <family val="2"/>
          </rPr>
          <t xml:space="preserve">
</t>
        </r>
      </text>
    </comment>
    <comment ref="D7" authorId="0" shapeId="0" xr:uid="{00000000-0006-0000-0200-00000C000000}">
      <text>
        <r>
          <rPr>
            <b/>
            <sz val="8"/>
            <color indexed="81"/>
            <rFont val="Tahoma"/>
            <family val="2"/>
          </rPr>
          <t>Used as Section Title on Main Worksheet.</t>
        </r>
        <r>
          <rPr>
            <sz val="8"/>
            <color indexed="81"/>
            <rFont val="Tahoma"/>
            <family val="2"/>
          </rPr>
          <t xml:space="preserve">
</t>
        </r>
      </text>
    </comment>
    <comment ref="D8" authorId="0" shapeId="0" xr:uid="{00000000-0006-0000-0200-00000D000000}">
      <text>
        <r>
          <rPr>
            <b/>
            <sz val="8"/>
            <color indexed="81"/>
            <rFont val="Tahoma"/>
            <family val="2"/>
          </rPr>
          <t>Used as Section Title on Main Worksheet.</t>
        </r>
        <r>
          <rPr>
            <sz val="8"/>
            <color indexed="81"/>
            <rFont val="Tahoma"/>
            <family val="2"/>
          </rPr>
          <t xml:space="preserve">
</t>
        </r>
      </text>
    </comment>
    <comment ref="E10" authorId="0" shapeId="0" xr:uid="{00000000-0006-0000-0200-00000E000000}">
      <text>
        <r>
          <rPr>
            <b/>
            <sz val="8"/>
            <color indexed="81"/>
            <rFont val="Tahoma"/>
            <family val="2"/>
          </rPr>
          <t>This value is updated programmatically. Do not alter manually.</t>
        </r>
        <r>
          <rPr>
            <sz val="8"/>
            <color indexed="81"/>
            <rFont val="Tahoma"/>
            <family val="2"/>
          </rPr>
          <t xml:space="preserve">
</t>
        </r>
      </text>
    </comment>
    <comment ref="F10" authorId="0" shapeId="0" xr:uid="{00000000-0006-0000-0200-00000F000000}">
      <text>
        <r>
          <rPr>
            <b/>
            <sz val="8"/>
            <color indexed="81"/>
            <rFont val="Tahoma"/>
            <family val="2"/>
          </rPr>
          <t>This value is updated programmatically. Do not alter manually.</t>
        </r>
        <r>
          <rPr>
            <sz val="8"/>
            <color indexed="81"/>
            <rFont val="Tahoma"/>
            <family val="2"/>
          </rPr>
          <t xml:space="preserve">
</t>
        </r>
      </text>
    </comment>
    <comment ref="T10" authorId="0" shapeId="0" xr:uid="{00000000-0006-0000-0200-000010000000}">
      <text>
        <r>
          <rPr>
            <b/>
            <sz val="8"/>
            <color indexed="81"/>
            <rFont val="Tahoma"/>
            <family val="2"/>
          </rPr>
          <t xml:space="preserve">This list is used by the subroutine "UpdateTempWorksheet". The Format column contains the AUX_DATA_FORMAT value. The Row column contains the starting row and the column value indicates the starting column. These values are typically used by Excel Validations and are located on the Main Worksheet.
</t>
        </r>
      </text>
    </comment>
    <comment ref="Z10" authorId="0" shapeId="0" xr:uid="{00000000-0006-0000-0200-000011000000}">
      <text>
        <r>
          <rPr>
            <b/>
            <sz val="8"/>
            <color indexed="81"/>
            <rFont val="Tahoma"/>
            <family val="2"/>
          </rPr>
          <t>These values are used by the DAO's on the Add New Sample form. The values indicate the "ending" row for a RowSource.</t>
        </r>
        <r>
          <rPr>
            <sz val="8"/>
            <color indexed="81"/>
            <rFont val="Tahoma"/>
            <family val="2"/>
          </rPr>
          <t xml:space="preserve">
</t>
        </r>
      </text>
    </comment>
    <comment ref="D11" authorId="0" shapeId="0" xr:uid="{00000000-0006-0000-0200-000012000000}">
      <text>
        <r>
          <rPr>
            <b/>
            <sz val="8"/>
            <color indexed="81"/>
            <rFont val="Tahoma"/>
            <family val="2"/>
          </rPr>
          <t>Starting Row and Column of "Visible" rows and columns.</t>
        </r>
        <r>
          <rPr>
            <sz val="8"/>
            <color indexed="81"/>
            <rFont val="Tahoma"/>
            <family val="2"/>
          </rPr>
          <t xml:space="preserve">
</t>
        </r>
      </text>
    </comment>
    <comment ref="F11" authorId="0" shapeId="0" xr:uid="{00000000-0006-0000-0200-000013000000}">
      <text>
        <r>
          <rPr>
            <b/>
            <sz val="8"/>
            <color indexed="81"/>
            <rFont val="Tahoma"/>
            <family val="2"/>
          </rPr>
          <t>This value (35) is set by the Administrator and must not be altered unless the starting column changes.</t>
        </r>
        <r>
          <rPr>
            <sz val="8"/>
            <color indexed="81"/>
            <rFont val="Tahoma"/>
            <family val="2"/>
          </rPr>
          <t xml:space="preserve">
</t>
        </r>
      </text>
    </comment>
    <comment ref="AF11" authorId="0" shapeId="0" xr:uid="{00000000-0006-0000-0200-000014000000}">
      <text>
        <r>
          <rPr>
            <b/>
            <sz val="8"/>
            <color indexed="81"/>
            <rFont val="Tahoma"/>
            <family val="2"/>
          </rPr>
          <t>Value provided by administrator. There are 2 valid types: "UNITS" and "PERCENT". For PERCENT, enter the whole number (e.g., +/- 5% - value would be "5".
UNITS are whole numbers (including decimal) that are simply added/subtracted to determine acceptance.
"NO-CONTROL" tells the program that this analyte is not tied to an opening/closing controls, whether the controls exist or not. This is used to control the type of cell comment that get's placed on the value.
"h-Hours(s)" is used as Valid Values for TIMEONLY are (see VBA DateAdd function):
h-Hour(s)
m-Minute(s)
s-Second(s)
w-Week(s)</t>
        </r>
        <r>
          <rPr>
            <sz val="8"/>
            <color indexed="81"/>
            <rFont val="Tahoma"/>
            <family val="2"/>
          </rPr>
          <t xml:space="preserve">
</t>
        </r>
      </text>
    </comment>
    <comment ref="AG11" authorId="0" shapeId="0" xr:uid="{00000000-0006-0000-0200-000015000000}">
      <text>
        <r>
          <rPr>
            <b/>
            <sz val="8"/>
            <color indexed="81"/>
            <rFont val="Tahoma"/>
            <family val="2"/>
          </rPr>
          <t>This is the measurement value. This is supplied by the Administrator.</t>
        </r>
        <r>
          <rPr>
            <sz val="8"/>
            <color indexed="81"/>
            <rFont val="Tahoma"/>
            <family val="2"/>
          </rPr>
          <t xml:space="preserve">
</t>
        </r>
      </text>
    </comment>
    <comment ref="AH11" authorId="0" shapeId="0" xr:uid="{00000000-0006-0000-0200-000016000000}">
      <text>
        <r>
          <rPr>
            <b/>
            <sz val="8"/>
            <color indexed="81"/>
            <rFont val="Tahoma"/>
            <family val="2"/>
          </rPr>
          <t>Value is updated programmatically by Sub AcceptableRange().
EXCEPT - when there is only 1 control parameter in play. When this happens, this field is blank and is not programmatically updated and can easily be used for "user criteria".</t>
        </r>
        <r>
          <rPr>
            <sz val="8"/>
            <color indexed="81"/>
            <rFont val="Tahoma"/>
            <family val="2"/>
          </rPr>
          <t xml:space="preserve">
</t>
        </r>
      </text>
    </comment>
    <comment ref="AI11" authorId="0" shapeId="0" xr:uid="{00000000-0006-0000-0200-000017000000}">
      <text>
        <r>
          <rPr>
            <b/>
            <sz val="8"/>
            <color indexed="81"/>
            <rFont val="Tahoma"/>
            <family val="2"/>
          </rPr>
          <t>Value is updated programmatically by Sub AcceptableRange().
EXCEPT - when there is only 1 control parameter in play. When this happens, this field is blank and is not programmatically updated and can easily be used for "user criteria".</t>
        </r>
        <r>
          <rPr>
            <sz val="8"/>
            <color indexed="81"/>
            <rFont val="Tahoma"/>
            <family val="2"/>
          </rPr>
          <t xml:space="preserve">
</t>
        </r>
      </text>
    </comment>
    <comment ref="AJ11" authorId="0" shapeId="0" xr:uid="{00000000-0006-0000-0200-000018000000}">
      <text>
        <r>
          <rPr>
            <b/>
            <sz val="8"/>
            <color indexed="81"/>
            <rFont val="Tahoma"/>
            <family val="2"/>
          </rPr>
          <t>Indicates that the closing control sample for this parameter is in control - NOT the opening control sample.
This value is set to FALSE after the Fetch process and is updated programmatically.</t>
        </r>
        <r>
          <rPr>
            <sz val="8"/>
            <color indexed="81"/>
            <rFont val="Tahoma"/>
            <family val="2"/>
          </rPr>
          <t xml:space="preserve">
</t>
        </r>
      </text>
    </comment>
    <comment ref="AK11" authorId="1" shapeId="0" xr:uid="{00000000-0006-0000-0200-000019000000}">
      <text>
        <r>
          <rPr>
            <b/>
            <sz val="8"/>
            <color indexed="81"/>
            <rFont val="Tahoma"/>
            <family val="2"/>
          </rPr>
          <t xml:space="preserve">This is the lower limit to use in the event the opening/closing controls are NOT present (not used). OR,  when "Type" is set to "NO-CONTROL".
Instead of comparing the entered value against controls, use this value.
</t>
        </r>
      </text>
    </comment>
    <comment ref="AL11" authorId="1" shapeId="0" xr:uid="{00000000-0006-0000-0200-00001A000000}">
      <text>
        <r>
          <rPr>
            <b/>
            <sz val="8"/>
            <color indexed="81"/>
            <rFont val="Tahoma"/>
            <family val="2"/>
          </rPr>
          <t>This is the lower limit to use in the event the opening/closing controls are NOT present (not used). OR,  when "Type" is set to "NO-CONTROL".
Instead of comparing the entered value against controls, use this value.</t>
        </r>
        <r>
          <rPr>
            <sz val="8"/>
            <color indexed="81"/>
            <rFont val="Tahoma"/>
            <family val="2"/>
          </rPr>
          <t xml:space="preserve">
</t>
        </r>
      </text>
    </comment>
    <comment ref="AM11" authorId="1" shapeId="0" xr:uid="{00000000-0006-0000-0200-00001B000000}">
      <text>
        <r>
          <rPr>
            <b/>
            <sz val="8"/>
            <color indexed="81"/>
            <rFont val="Tahoma"/>
            <family val="2"/>
          </rPr>
          <t>User supplied units. Only accessed when all controls are cancelled or eliminated altogether. Or, the "Type" is set to "NO-CONTROL".</t>
        </r>
      </text>
    </comment>
    <comment ref="D12" authorId="0" shapeId="0" xr:uid="{00000000-0006-0000-0200-00001C000000}">
      <text>
        <r>
          <rPr>
            <b/>
            <sz val="8"/>
            <color indexed="81"/>
            <rFont val="Tahoma"/>
            <family val="2"/>
          </rPr>
          <t>Ending Row and Column of "Visible" rows and columns.</t>
        </r>
        <r>
          <rPr>
            <sz val="8"/>
            <color indexed="81"/>
            <rFont val="Tahoma"/>
            <family val="2"/>
          </rPr>
          <t xml:space="preserve">
</t>
        </r>
      </text>
    </comment>
    <comment ref="Z12" authorId="0" shapeId="0" xr:uid="{00000000-0006-0000-0200-00001D000000}">
      <text>
        <r>
          <rPr>
            <b/>
            <sz val="8"/>
            <color indexed="81"/>
            <rFont val="Tahoma"/>
            <family val="2"/>
          </rPr>
          <t>Referenced on Main Worksheet</t>
        </r>
        <r>
          <rPr>
            <sz val="8"/>
            <color indexed="81"/>
            <rFont val="Tahoma"/>
            <family val="2"/>
          </rPr>
          <t xml:space="preserve">
</t>
        </r>
      </text>
    </comment>
    <comment ref="A13" authorId="2" shapeId="0" xr:uid="{00000000-0006-0000-0200-00001E000000}">
      <text>
        <r>
          <rPr>
            <b/>
            <sz val="8"/>
            <color indexed="81"/>
            <rFont val="Tahoma"/>
            <family val="2"/>
          </rPr>
          <t>Are login credentials stored in the HFDM workbook (for security purposes). If FALSE, user must supply credentials each time logging into HFDM.</t>
        </r>
        <r>
          <rPr>
            <sz val="8"/>
            <color indexed="81"/>
            <rFont val="Tahoma"/>
            <family val="2"/>
          </rPr>
          <t xml:space="preserve">
</t>
        </r>
      </text>
    </comment>
    <comment ref="Z13" authorId="0" shapeId="0" xr:uid="{00000000-0006-0000-0200-00001F000000}">
      <text>
        <r>
          <rPr>
            <b/>
            <sz val="8"/>
            <color indexed="81"/>
            <rFont val="Tahoma"/>
            <family val="2"/>
          </rPr>
          <t>Referenced on Main Worksheet</t>
        </r>
        <r>
          <rPr>
            <sz val="8"/>
            <color indexed="81"/>
            <rFont val="Tahoma"/>
            <family val="2"/>
          </rPr>
          <t xml:space="preserve">
</t>
        </r>
      </text>
    </comment>
    <comment ref="D14" authorId="0" shapeId="0" xr:uid="{00000000-0006-0000-0200-000020000000}">
      <text>
        <r>
          <rPr>
            <b/>
            <sz val="8"/>
            <color indexed="81"/>
            <rFont val="Tahoma"/>
            <family val="2"/>
          </rPr>
          <t>The value is this cell is used to populate the sample headers on MAIN.</t>
        </r>
      </text>
    </comment>
    <comment ref="H14" authorId="0" shapeId="0" xr:uid="{00000000-0006-0000-0200-000021000000}">
      <text>
        <r>
          <rPr>
            <b/>
            <sz val="8"/>
            <color indexed="81"/>
            <rFont val="Tahoma"/>
            <family val="2"/>
          </rPr>
          <t>The value is this cell is used to populate the sample headers on MAIN.</t>
        </r>
        <r>
          <rPr>
            <sz val="8"/>
            <color indexed="81"/>
            <rFont val="Tahoma"/>
            <family val="2"/>
          </rPr>
          <t xml:space="preserve">
</t>
        </r>
      </text>
    </comment>
    <comment ref="L14" authorId="0" shapeId="0" xr:uid="{00000000-0006-0000-0200-000022000000}">
      <text>
        <r>
          <rPr>
            <b/>
            <sz val="8"/>
            <color indexed="81"/>
            <rFont val="Tahoma"/>
            <family val="2"/>
          </rPr>
          <t>The value is this cell is used to populate the sample headers on MAIN.</t>
        </r>
        <r>
          <rPr>
            <sz val="8"/>
            <color indexed="81"/>
            <rFont val="Tahoma"/>
            <family val="2"/>
          </rPr>
          <t xml:space="preserve">
</t>
        </r>
      </text>
    </comment>
    <comment ref="AF16" authorId="1" shapeId="0" xr:uid="{00000000-0006-0000-0200-000023000000}">
      <text>
        <r>
          <rPr>
            <b/>
            <sz val="8"/>
            <color indexed="81"/>
            <rFont val="Tahoma"/>
            <family val="2"/>
          </rPr>
          <t xml:space="preserve">Valid Values for TIMEONLY are (see VBA DateAdd function):
h-Hour(s)
m-Minute(s)
s-Second(s)
w-Week(s)
</t>
        </r>
        <r>
          <rPr>
            <sz val="8"/>
            <color indexed="81"/>
            <rFont val="Tahoma"/>
            <family val="2"/>
          </rPr>
          <t xml:space="preserve">
</t>
        </r>
      </text>
    </comment>
    <comment ref="A19" authorId="0" shapeId="0" xr:uid="{00000000-0006-0000-0200-000024000000}">
      <text>
        <r>
          <rPr>
            <b/>
            <sz val="8"/>
            <color indexed="81"/>
            <rFont val="Tahoma"/>
            <family val="2"/>
          </rPr>
          <t>This value is the current working "P-Number" or WorkID. Do Not Change - this is set programmatically</t>
        </r>
        <r>
          <rPr>
            <sz val="8"/>
            <color indexed="81"/>
            <rFont val="Tahoma"/>
            <family val="2"/>
          </rPr>
          <t xml:space="preserve">
</t>
        </r>
      </text>
    </comment>
    <comment ref="D19" authorId="0" shapeId="0" xr:uid="{00000000-0006-0000-0200-000025000000}">
      <text>
        <r>
          <rPr>
            <b/>
            <sz val="8"/>
            <color indexed="81"/>
            <rFont val="Tahoma"/>
            <family val="2"/>
          </rPr>
          <t>This value is assigned by the user.</t>
        </r>
        <r>
          <rPr>
            <sz val="8"/>
            <color indexed="81"/>
            <rFont val="Tahoma"/>
            <family val="2"/>
          </rPr>
          <t xml:space="preserve">
</t>
        </r>
      </text>
    </comment>
    <comment ref="F19" authorId="0" shapeId="0" xr:uid="{00000000-0006-0000-0200-000026000000}">
      <text>
        <r>
          <rPr>
            <b/>
            <sz val="8"/>
            <color indexed="81"/>
            <rFont val="Tahoma"/>
            <family val="2"/>
          </rPr>
          <t>Default Sample Type</t>
        </r>
        <r>
          <rPr>
            <sz val="8"/>
            <color indexed="81"/>
            <rFont val="Tahoma"/>
            <family val="2"/>
          </rPr>
          <t xml:space="preserve">
</t>
        </r>
      </text>
    </comment>
    <comment ref="L19" authorId="0" shapeId="0" xr:uid="{00000000-0006-0000-0200-000027000000}">
      <text>
        <r>
          <rPr>
            <b/>
            <sz val="8"/>
            <color indexed="81"/>
            <rFont val="Tahoma"/>
            <family val="2"/>
          </rPr>
          <t>This value is assigned by the user.</t>
        </r>
        <r>
          <rPr>
            <sz val="8"/>
            <color indexed="81"/>
            <rFont val="Tahoma"/>
            <family val="2"/>
          </rPr>
          <t xml:space="preserve">
</t>
        </r>
      </text>
    </comment>
    <comment ref="N19" authorId="0" shapeId="0" xr:uid="{00000000-0006-0000-0200-000028000000}">
      <text>
        <r>
          <rPr>
            <b/>
            <sz val="8"/>
            <color indexed="81"/>
            <rFont val="Tahoma"/>
            <family val="2"/>
          </rPr>
          <t>Default Sample Type</t>
        </r>
        <r>
          <rPr>
            <sz val="8"/>
            <color indexed="81"/>
            <rFont val="Tahoma"/>
            <family val="2"/>
          </rPr>
          <t xml:space="preserve">
</t>
        </r>
      </text>
    </comment>
    <comment ref="D20" authorId="0" shapeId="0" xr:uid="{00000000-0006-0000-0200-000029000000}">
      <text>
        <r>
          <rPr>
            <b/>
            <sz val="8"/>
            <color indexed="81"/>
            <rFont val="Tahoma"/>
            <family val="2"/>
          </rPr>
          <t>This value is assigned by the user.</t>
        </r>
        <r>
          <rPr>
            <sz val="8"/>
            <color indexed="81"/>
            <rFont val="Tahoma"/>
            <family val="2"/>
          </rPr>
          <t xml:space="preserve">
</t>
        </r>
      </text>
    </comment>
    <comment ref="F20" authorId="0" shapeId="0" xr:uid="{00000000-0006-0000-0200-00002A000000}">
      <text>
        <r>
          <rPr>
            <b/>
            <sz val="8"/>
            <color indexed="81"/>
            <rFont val="Tahoma"/>
            <family val="2"/>
          </rPr>
          <t>Default Sampling Method. (The name does not reflect it's useage. ) This value is used to isolate certain parameters with certain QC samples. 
Be sure to always start the value with "QC-"!</t>
        </r>
      </text>
    </comment>
    <comment ref="L20" authorId="0" shapeId="0" xr:uid="{00000000-0006-0000-0200-00002B000000}">
      <text>
        <r>
          <rPr>
            <b/>
            <sz val="8"/>
            <color indexed="81"/>
            <rFont val="Tahoma"/>
            <family val="2"/>
          </rPr>
          <t>This value is assigned by the user.</t>
        </r>
        <r>
          <rPr>
            <sz val="8"/>
            <color indexed="81"/>
            <rFont val="Tahoma"/>
            <family val="2"/>
          </rPr>
          <t xml:space="preserve">
</t>
        </r>
      </text>
    </comment>
    <comment ref="N20" authorId="0" shapeId="0" xr:uid="{00000000-0006-0000-0200-00002C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D21" authorId="0" shapeId="0" xr:uid="{00000000-0006-0000-0200-00002D000000}">
      <text>
        <r>
          <rPr>
            <b/>
            <sz val="8"/>
            <color indexed="81"/>
            <rFont val="Tahoma"/>
            <family val="2"/>
          </rPr>
          <t>This value is assigned by the user.</t>
        </r>
        <r>
          <rPr>
            <sz val="8"/>
            <color indexed="81"/>
            <rFont val="Tahoma"/>
            <family val="2"/>
          </rPr>
          <t xml:space="preserve">
</t>
        </r>
      </text>
    </comment>
    <comment ref="F21" authorId="0" shapeId="0" xr:uid="{00000000-0006-0000-0200-00002E000000}">
      <text>
        <r>
          <rPr>
            <b/>
            <sz val="8"/>
            <color indexed="81"/>
            <rFont val="Tahoma"/>
            <family val="2"/>
          </rPr>
          <t>Default Sample Type - as each sample is built, it will be "appended" with a sequence value. E.g.,  CCV1, CCV2, CCV3, etc..</t>
        </r>
        <r>
          <rPr>
            <sz val="8"/>
            <color indexed="81"/>
            <rFont val="Tahoma"/>
            <family val="2"/>
          </rPr>
          <t xml:space="preserve">
</t>
        </r>
      </text>
    </comment>
    <comment ref="L21" authorId="0" shapeId="0" xr:uid="{00000000-0006-0000-0200-00002F000000}">
      <text>
        <r>
          <rPr>
            <b/>
            <sz val="8"/>
            <color indexed="81"/>
            <rFont val="Tahoma"/>
            <family val="2"/>
          </rPr>
          <t>This value is assigned by the user.</t>
        </r>
        <r>
          <rPr>
            <sz val="8"/>
            <color indexed="81"/>
            <rFont val="Tahoma"/>
            <family val="2"/>
          </rPr>
          <t xml:space="preserve">
</t>
        </r>
      </text>
    </comment>
    <comment ref="N21" authorId="0" shapeId="0" xr:uid="{00000000-0006-0000-0200-000030000000}">
      <text>
        <r>
          <rPr>
            <b/>
            <sz val="8"/>
            <color indexed="81"/>
            <rFont val="Tahoma"/>
            <family val="2"/>
          </rPr>
          <t>Default Sample Type</t>
        </r>
        <r>
          <rPr>
            <sz val="8"/>
            <color indexed="81"/>
            <rFont val="Tahoma"/>
            <family val="2"/>
          </rPr>
          <t xml:space="preserve">
</t>
        </r>
      </text>
    </comment>
    <comment ref="D22" authorId="0" shapeId="0" xr:uid="{00000000-0006-0000-0200-000031000000}">
      <text>
        <r>
          <rPr>
            <b/>
            <sz val="8"/>
            <color indexed="81"/>
            <rFont val="Tahoma"/>
            <family val="2"/>
          </rPr>
          <t>This value is assigned by the user.</t>
        </r>
        <r>
          <rPr>
            <sz val="8"/>
            <color indexed="81"/>
            <rFont val="Tahoma"/>
            <family val="2"/>
          </rPr>
          <t xml:space="preserve">
</t>
        </r>
      </text>
    </comment>
    <comment ref="F22" authorId="0" shapeId="0" xr:uid="{00000000-0006-0000-0200-000032000000}">
      <text>
        <r>
          <rPr>
            <b/>
            <sz val="8"/>
            <color indexed="81"/>
            <rFont val="Tahoma"/>
            <family val="2"/>
          </rPr>
          <t>Default Sampling Method. (The name does not reflect it's useage. ) This value is used to isolate certain parameters with certain QC samples. 
Be sure to always start the value with "QC-"!</t>
        </r>
      </text>
    </comment>
    <comment ref="L22" authorId="0" shapeId="0" xr:uid="{00000000-0006-0000-0200-000033000000}">
      <text>
        <r>
          <rPr>
            <b/>
            <sz val="8"/>
            <color indexed="81"/>
            <rFont val="Tahoma"/>
            <family val="2"/>
          </rPr>
          <t>This value is assigned by the user.</t>
        </r>
        <r>
          <rPr>
            <sz val="8"/>
            <color indexed="81"/>
            <rFont val="Tahoma"/>
            <family val="2"/>
          </rPr>
          <t xml:space="preserve">
</t>
        </r>
      </text>
    </comment>
    <comment ref="N22" authorId="0" shapeId="0" xr:uid="{00000000-0006-0000-0200-000034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A23" authorId="0" shapeId="0" xr:uid="{00000000-0006-0000-0200-000035000000}">
      <text>
        <r>
          <rPr>
            <b/>
            <sz val="8"/>
            <color indexed="81"/>
            <rFont val="Tahoma"/>
            <family val="2"/>
          </rPr>
          <t>The Queue representing the field parameters. This is set by the user. This queue will be used when creating the "empty" batch during the Delivery Process.</t>
        </r>
        <r>
          <rPr>
            <sz val="8"/>
            <color indexed="81"/>
            <rFont val="Tahoma"/>
            <family val="2"/>
          </rPr>
          <t xml:space="preserve">
</t>
        </r>
      </text>
    </comment>
    <comment ref="D23" authorId="0" shapeId="0" xr:uid="{00000000-0006-0000-0200-000036000000}">
      <text>
        <r>
          <rPr>
            <b/>
            <sz val="8"/>
            <color indexed="81"/>
            <rFont val="Tahoma"/>
            <family val="2"/>
          </rPr>
          <t>This value is assigned by the user.</t>
        </r>
        <r>
          <rPr>
            <sz val="8"/>
            <color indexed="81"/>
            <rFont val="Tahoma"/>
            <family val="2"/>
          </rPr>
          <t xml:space="preserve">
</t>
        </r>
      </text>
    </comment>
    <comment ref="L23" authorId="0" shapeId="0" xr:uid="{00000000-0006-0000-0200-000037000000}">
      <text>
        <r>
          <rPr>
            <b/>
            <sz val="8"/>
            <color indexed="81"/>
            <rFont val="Tahoma"/>
            <family val="2"/>
          </rPr>
          <t>This value is assigned by the user.</t>
        </r>
        <r>
          <rPr>
            <sz val="8"/>
            <color indexed="81"/>
            <rFont val="Tahoma"/>
            <family val="2"/>
          </rPr>
          <t xml:space="preserve">
</t>
        </r>
      </text>
    </comment>
    <comment ref="D24" authorId="0" shapeId="0" xr:uid="{00000000-0006-0000-0200-000038000000}">
      <text>
        <r>
          <rPr>
            <b/>
            <sz val="8"/>
            <color indexed="81"/>
            <rFont val="Tahoma"/>
            <family val="2"/>
          </rPr>
          <t>This value is assigned by the user.</t>
        </r>
        <r>
          <rPr>
            <sz val="8"/>
            <color indexed="81"/>
            <rFont val="Tahoma"/>
            <family val="2"/>
          </rPr>
          <t xml:space="preserve">
</t>
        </r>
      </text>
    </comment>
    <comment ref="F24" authorId="0" shapeId="0" xr:uid="{00000000-0006-0000-0200-000039000000}">
      <text>
        <r>
          <rPr>
            <b/>
            <sz val="8"/>
            <color indexed="81"/>
            <rFont val="Tahoma"/>
            <family val="2"/>
          </rPr>
          <t>Default Sampling Method. (The name does not reflect it's useage. ) This value is used to isolate certain parameters with certain QC samples. 
Be sure to always start the value with "QC-"!</t>
        </r>
      </text>
    </comment>
    <comment ref="L24" authorId="0" shapeId="0" xr:uid="{00000000-0006-0000-0200-00003A000000}">
      <text>
        <r>
          <rPr>
            <b/>
            <sz val="8"/>
            <color indexed="81"/>
            <rFont val="Tahoma"/>
            <family val="2"/>
          </rPr>
          <t>This value is assigned by the user.</t>
        </r>
        <r>
          <rPr>
            <sz val="8"/>
            <color indexed="81"/>
            <rFont val="Tahoma"/>
            <family val="2"/>
          </rPr>
          <t xml:space="preserve">
</t>
        </r>
      </text>
    </comment>
    <comment ref="A25" authorId="0" shapeId="0" xr:uid="{00000000-0006-0000-0200-00003B000000}">
      <text>
        <r>
          <rPr>
            <b/>
            <sz val="8"/>
            <color indexed="81"/>
            <rFont val="Tahoma"/>
            <family val="2"/>
          </rPr>
          <t>Represents the batch rule used for field samples. The QC Rule, coupled with the Field Queue, will be used to create the "empty batch" during the Delivery Process.</t>
        </r>
        <r>
          <rPr>
            <sz val="8"/>
            <color indexed="81"/>
            <rFont val="Tahoma"/>
            <family val="2"/>
          </rPr>
          <t xml:space="preserve">
</t>
        </r>
      </text>
    </comment>
    <comment ref="D25" authorId="0" shapeId="0" xr:uid="{00000000-0006-0000-0200-00003C000000}">
      <text>
        <r>
          <rPr>
            <b/>
            <sz val="8"/>
            <color indexed="81"/>
            <rFont val="Tahoma"/>
            <family val="2"/>
          </rPr>
          <t>This value is assigned by the user.</t>
        </r>
        <r>
          <rPr>
            <sz val="8"/>
            <color indexed="81"/>
            <rFont val="Tahoma"/>
            <family val="2"/>
          </rPr>
          <t xml:space="preserve">
</t>
        </r>
      </text>
    </comment>
    <comment ref="L25" authorId="0" shapeId="0" xr:uid="{00000000-0006-0000-0200-00003D000000}">
      <text>
        <r>
          <rPr>
            <b/>
            <sz val="8"/>
            <color indexed="81"/>
            <rFont val="Tahoma"/>
            <family val="2"/>
          </rPr>
          <t>This value is assigned by the user.</t>
        </r>
        <r>
          <rPr>
            <sz val="8"/>
            <color indexed="81"/>
            <rFont val="Tahoma"/>
            <family val="2"/>
          </rPr>
          <t xml:space="preserve">
</t>
        </r>
      </text>
    </comment>
    <comment ref="D26" authorId="0" shapeId="0" xr:uid="{00000000-0006-0000-0200-00003E000000}">
      <text>
        <r>
          <rPr>
            <b/>
            <sz val="8"/>
            <color indexed="81"/>
            <rFont val="Tahoma"/>
            <family val="2"/>
          </rPr>
          <t>This value is assigned by the user.</t>
        </r>
        <r>
          <rPr>
            <sz val="8"/>
            <color indexed="81"/>
            <rFont val="Tahoma"/>
            <family val="2"/>
          </rPr>
          <t xml:space="preserve">
</t>
        </r>
      </text>
    </comment>
    <comment ref="F26" authorId="0" shapeId="0" xr:uid="{00000000-0006-0000-0200-00003F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L26" authorId="0" shapeId="0" xr:uid="{00000000-0006-0000-0200-000040000000}">
      <text>
        <r>
          <rPr>
            <b/>
            <sz val="8"/>
            <color indexed="81"/>
            <rFont val="Tahoma"/>
            <family val="2"/>
          </rPr>
          <t>This value is assigned by the user.</t>
        </r>
        <r>
          <rPr>
            <sz val="8"/>
            <color indexed="81"/>
            <rFont val="Tahoma"/>
            <family val="2"/>
          </rPr>
          <t xml:space="preserve">
</t>
        </r>
      </text>
    </comment>
    <comment ref="AC26" authorId="0" shapeId="0" xr:uid="{00000000-0006-0000-0200-000041000000}">
      <text>
        <r>
          <rPr>
            <b/>
            <sz val="8"/>
            <color indexed="81"/>
            <rFont val="Tahoma"/>
            <family val="2"/>
          </rPr>
          <t>Not currently in use.</t>
        </r>
        <r>
          <rPr>
            <sz val="8"/>
            <color indexed="81"/>
            <rFont val="Tahoma"/>
            <family val="2"/>
          </rPr>
          <t xml:space="preserve">
</t>
        </r>
      </text>
    </comment>
    <comment ref="A27" authorId="0" shapeId="0" xr:uid="{00000000-0006-0000-0200-000042000000}">
      <text>
        <r>
          <rPr>
            <b/>
            <sz val="8"/>
            <color indexed="81"/>
            <rFont val="Tahoma"/>
            <family val="2"/>
          </rPr>
          <t>This value represents the value used to denote "field test" acodes. All field test acodes in the table ANALYSIS_CODES must have the same value. If that value changes, it must be changed in here, as well.</t>
        </r>
        <r>
          <rPr>
            <sz val="8"/>
            <color indexed="81"/>
            <rFont val="Tahoma"/>
            <family val="2"/>
          </rPr>
          <t xml:space="preserve">
</t>
        </r>
      </text>
    </comment>
    <comment ref="D27" authorId="0" shapeId="0" xr:uid="{00000000-0006-0000-0200-000043000000}">
      <text>
        <r>
          <rPr>
            <b/>
            <sz val="8"/>
            <color indexed="81"/>
            <rFont val="Tahoma"/>
            <family val="2"/>
          </rPr>
          <t>This value is assigned by the user.</t>
        </r>
        <r>
          <rPr>
            <sz val="8"/>
            <color indexed="81"/>
            <rFont val="Tahoma"/>
            <family val="2"/>
          </rPr>
          <t xml:space="preserve">
</t>
        </r>
      </text>
    </comment>
    <comment ref="L27" authorId="0" shapeId="0" xr:uid="{00000000-0006-0000-0200-000044000000}">
      <text>
        <r>
          <rPr>
            <b/>
            <sz val="8"/>
            <color indexed="81"/>
            <rFont val="Tahoma"/>
            <family val="2"/>
          </rPr>
          <t>This value is assigned by the user.</t>
        </r>
        <r>
          <rPr>
            <sz val="8"/>
            <color indexed="81"/>
            <rFont val="Tahoma"/>
            <family val="2"/>
          </rPr>
          <t xml:space="preserve">
</t>
        </r>
      </text>
    </comment>
    <comment ref="D28" authorId="0" shapeId="0" xr:uid="{00000000-0006-0000-0200-000045000000}">
      <text>
        <r>
          <rPr>
            <b/>
            <sz val="8"/>
            <color indexed="81"/>
            <rFont val="Tahoma"/>
            <family val="2"/>
          </rPr>
          <t>This value is assigned by the user.</t>
        </r>
        <r>
          <rPr>
            <sz val="8"/>
            <color indexed="81"/>
            <rFont val="Tahoma"/>
            <family val="2"/>
          </rPr>
          <t xml:space="preserve">
</t>
        </r>
      </text>
    </comment>
    <comment ref="F28" authorId="0" shapeId="0" xr:uid="{00000000-0006-0000-0200-000046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L28" authorId="0" shapeId="0" xr:uid="{00000000-0006-0000-0200-000047000000}">
      <text>
        <r>
          <rPr>
            <b/>
            <sz val="8"/>
            <color indexed="81"/>
            <rFont val="Tahoma"/>
            <family val="2"/>
          </rPr>
          <t>This value is assigned by the user.</t>
        </r>
        <r>
          <rPr>
            <sz val="8"/>
            <color indexed="81"/>
            <rFont val="Tahoma"/>
            <family val="2"/>
          </rPr>
          <t xml:space="preserve">
</t>
        </r>
      </text>
    </comment>
    <comment ref="A29" authorId="0" shapeId="0" xr:uid="{00000000-0006-0000-0200-000048000000}">
      <text>
        <r>
          <rPr>
            <b/>
            <sz val="8"/>
            <color indexed="81"/>
            <rFont val="Tahoma"/>
            <family val="2"/>
          </rPr>
          <t>New Batch Number created during the last Delivery. This number will be updated during each delivery process.</t>
        </r>
        <r>
          <rPr>
            <sz val="8"/>
            <color indexed="81"/>
            <rFont val="Tahoma"/>
            <family val="2"/>
          </rPr>
          <t xml:space="preserve">
</t>
        </r>
      </text>
    </comment>
    <comment ref="D29" authorId="0" shapeId="0" xr:uid="{00000000-0006-0000-0200-000049000000}">
      <text>
        <r>
          <rPr>
            <b/>
            <sz val="8"/>
            <color indexed="81"/>
            <rFont val="Tahoma"/>
            <family val="2"/>
          </rPr>
          <t>This value is assigned by the user.</t>
        </r>
        <r>
          <rPr>
            <sz val="8"/>
            <color indexed="81"/>
            <rFont val="Tahoma"/>
            <family val="2"/>
          </rPr>
          <t xml:space="preserve">
</t>
        </r>
      </text>
    </comment>
    <comment ref="L29" authorId="0" shapeId="0" xr:uid="{00000000-0006-0000-0200-00004A000000}">
      <text>
        <r>
          <rPr>
            <b/>
            <sz val="8"/>
            <color indexed="81"/>
            <rFont val="Tahoma"/>
            <family val="2"/>
          </rPr>
          <t>This value is assigned by the user.</t>
        </r>
        <r>
          <rPr>
            <sz val="8"/>
            <color indexed="81"/>
            <rFont val="Tahoma"/>
            <family val="2"/>
          </rPr>
          <t xml:space="preserve">
</t>
        </r>
      </text>
    </comment>
    <comment ref="D30" authorId="0" shapeId="0" xr:uid="{00000000-0006-0000-0200-00004B000000}">
      <text>
        <r>
          <rPr>
            <b/>
            <sz val="8"/>
            <color indexed="81"/>
            <rFont val="Tahoma"/>
            <family val="2"/>
          </rPr>
          <t>This value is assigned by the user.</t>
        </r>
        <r>
          <rPr>
            <sz val="8"/>
            <color indexed="81"/>
            <rFont val="Tahoma"/>
            <family val="2"/>
          </rPr>
          <t xml:space="preserve">
</t>
        </r>
      </text>
    </comment>
    <comment ref="L30" authorId="0" shapeId="0" xr:uid="{00000000-0006-0000-0200-00004C000000}">
      <text>
        <r>
          <rPr>
            <b/>
            <sz val="8"/>
            <color indexed="81"/>
            <rFont val="Tahoma"/>
            <family val="2"/>
          </rPr>
          <t>This value is assigned by the user.</t>
        </r>
        <r>
          <rPr>
            <sz val="8"/>
            <color indexed="81"/>
            <rFont val="Tahoma"/>
            <family val="2"/>
          </rPr>
          <t xml:space="preserve">
</t>
        </r>
      </text>
    </comment>
    <comment ref="A31" authorId="0" shapeId="0" xr:uid="{00000000-0006-0000-0200-00004D000000}">
      <text>
        <r>
          <rPr>
            <b/>
            <sz val="8"/>
            <color indexed="81"/>
            <rFont val="Tahoma"/>
            <family val="2"/>
          </rPr>
          <t>New HBN created during the last Delivery. This number will be updated during each delivery process.</t>
        </r>
      </text>
    </comment>
    <comment ref="D31" authorId="0" shapeId="0" xr:uid="{00000000-0006-0000-0200-00004E000000}">
      <text>
        <r>
          <rPr>
            <b/>
            <sz val="8"/>
            <color indexed="81"/>
            <rFont val="Tahoma"/>
            <family val="2"/>
          </rPr>
          <t>This value is assigned by the user.</t>
        </r>
        <r>
          <rPr>
            <sz val="8"/>
            <color indexed="81"/>
            <rFont val="Tahoma"/>
            <family val="2"/>
          </rPr>
          <t xml:space="preserve">
</t>
        </r>
      </text>
    </comment>
    <comment ref="L31" authorId="0" shapeId="0" xr:uid="{00000000-0006-0000-0200-00004F000000}">
      <text>
        <r>
          <rPr>
            <b/>
            <sz val="8"/>
            <color indexed="81"/>
            <rFont val="Tahoma"/>
            <family val="2"/>
          </rPr>
          <t>This value is assigned by the user.</t>
        </r>
        <r>
          <rPr>
            <sz val="8"/>
            <color indexed="81"/>
            <rFont val="Tahoma"/>
            <family val="2"/>
          </rPr>
          <t xml:space="preserve">
</t>
        </r>
      </text>
    </comment>
    <comment ref="D32" authorId="0" shapeId="0" xr:uid="{00000000-0006-0000-0200-000050000000}">
      <text>
        <r>
          <rPr>
            <b/>
            <sz val="8"/>
            <color indexed="81"/>
            <rFont val="Tahoma"/>
            <family val="2"/>
          </rPr>
          <t>This value is assigned by the user.</t>
        </r>
        <r>
          <rPr>
            <sz val="8"/>
            <color indexed="81"/>
            <rFont val="Tahoma"/>
            <family val="2"/>
          </rPr>
          <t xml:space="preserve">
</t>
        </r>
      </text>
    </comment>
    <comment ref="L32" authorId="0" shapeId="0" xr:uid="{00000000-0006-0000-0200-000051000000}">
      <text>
        <r>
          <rPr>
            <b/>
            <sz val="8"/>
            <color indexed="81"/>
            <rFont val="Tahoma"/>
            <family val="2"/>
          </rPr>
          <t>This value is assigned by the user.</t>
        </r>
        <r>
          <rPr>
            <sz val="8"/>
            <color indexed="81"/>
            <rFont val="Tahoma"/>
            <family val="2"/>
          </rPr>
          <t xml:space="preserve">
</t>
        </r>
      </text>
    </comment>
    <comment ref="A33" authorId="0" shapeId="0" xr:uid="{00000000-0006-0000-0200-000052000000}">
      <text>
        <r>
          <rPr>
            <b/>
            <sz val="8"/>
            <color indexed="81"/>
            <rFont val="Tahoma"/>
            <family val="2"/>
          </rPr>
          <t>Enter the SAMTYP value representing the opening control samples. ALSO, enter the default HSN used for Q samples (see CHOICE_LISTS where CODE_TYPE equals "SAMTYP" - fetch the value from CHOICE_SEQ field.
NOTE: THESE VALUES ARE SUPPLIED BY USER!!</t>
        </r>
      </text>
    </comment>
    <comment ref="D33" authorId="0" shapeId="0" xr:uid="{00000000-0006-0000-0200-000053000000}">
      <text>
        <r>
          <rPr>
            <b/>
            <sz val="8"/>
            <color indexed="81"/>
            <rFont val="Tahoma"/>
            <family val="2"/>
          </rPr>
          <t>This value is assigned by the user.</t>
        </r>
        <r>
          <rPr>
            <sz val="8"/>
            <color indexed="81"/>
            <rFont val="Tahoma"/>
            <family val="2"/>
          </rPr>
          <t xml:space="preserve">
</t>
        </r>
      </text>
    </comment>
    <comment ref="L33" authorId="0" shapeId="0" xr:uid="{00000000-0006-0000-0200-000054000000}">
      <text>
        <r>
          <rPr>
            <b/>
            <sz val="8"/>
            <color indexed="81"/>
            <rFont val="Tahoma"/>
            <family val="2"/>
          </rPr>
          <t>This value is assigned by the user.</t>
        </r>
        <r>
          <rPr>
            <sz val="8"/>
            <color indexed="81"/>
            <rFont val="Tahoma"/>
            <family val="2"/>
          </rPr>
          <t xml:space="preserve">
</t>
        </r>
      </text>
    </comment>
    <comment ref="D34" authorId="0" shapeId="0" xr:uid="{00000000-0006-0000-0200-000055000000}">
      <text>
        <r>
          <rPr>
            <b/>
            <sz val="8"/>
            <color indexed="81"/>
            <rFont val="Tahoma"/>
            <family val="2"/>
          </rPr>
          <t>This value is assigned by the user.</t>
        </r>
        <r>
          <rPr>
            <sz val="8"/>
            <color indexed="81"/>
            <rFont val="Tahoma"/>
            <family val="2"/>
          </rPr>
          <t xml:space="preserve">
</t>
        </r>
      </text>
    </comment>
    <comment ref="L34" authorId="0" shapeId="0" xr:uid="{00000000-0006-0000-0200-000056000000}">
      <text>
        <r>
          <rPr>
            <b/>
            <sz val="8"/>
            <color indexed="81"/>
            <rFont val="Tahoma"/>
            <family val="2"/>
          </rPr>
          <t>This value is assigned by the user.</t>
        </r>
        <r>
          <rPr>
            <sz val="8"/>
            <color indexed="81"/>
            <rFont val="Tahoma"/>
            <family val="2"/>
          </rPr>
          <t xml:space="preserve">
</t>
        </r>
      </text>
    </comment>
    <comment ref="A35" authorId="0" shapeId="0" xr:uid="{00000000-0006-0000-0200-000057000000}">
      <text>
        <r>
          <rPr>
            <b/>
            <sz val="8"/>
            <color indexed="81"/>
            <rFont val="Tahoma"/>
            <family val="2"/>
          </rPr>
          <t>Enter the SAMTYP value representing the opening control samples. ALSO, enter the default HSN used for Q samples (see CHOICE_LISTS where CODE_TYPE equals "SAMTYP" - fetch the value from CHOICE_SEQ field
NOTE: THESE VALUES ARE SUPPLIED BY USER!!</t>
        </r>
        <r>
          <rPr>
            <sz val="8"/>
            <color indexed="81"/>
            <rFont val="Tahoma"/>
            <family val="2"/>
          </rPr>
          <t xml:space="preserve">
</t>
        </r>
      </text>
    </comment>
    <comment ref="D35" authorId="0" shapeId="0" xr:uid="{00000000-0006-0000-0200-000058000000}">
      <text>
        <r>
          <rPr>
            <b/>
            <sz val="8"/>
            <color indexed="81"/>
            <rFont val="Tahoma"/>
            <family val="2"/>
          </rPr>
          <t>This value is assigned by the user.</t>
        </r>
        <r>
          <rPr>
            <sz val="8"/>
            <color indexed="81"/>
            <rFont val="Tahoma"/>
            <family val="2"/>
          </rPr>
          <t xml:space="preserve">
</t>
        </r>
      </text>
    </comment>
    <comment ref="L35" authorId="0" shapeId="0" xr:uid="{00000000-0006-0000-0200-000059000000}">
      <text>
        <r>
          <rPr>
            <b/>
            <sz val="8"/>
            <color indexed="81"/>
            <rFont val="Tahoma"/>
            <family val="2"/>
          </rPr>
          <t>This value is assigned by the user.</t>
        </r>
        <r>
          <rPr>
            <sz val="8"/>
            <color indexed="81"/>
            <rFont val="Tahoma"/>
            <family val="2"/>
          </rPr>
          <t xml:space="preserve">
</t>
        </r>
      </text>
    </comment>
    <comment ref="D36" authorId="0" shapeId="0" xr:uid="{00000000-0006-0000-0200-00005A000000}">
      <text>
        <r>
          <rPr>
            <b/>
            <sz val="8"/>
            <color indexed="81"/>
            <rFont val="Tahoma"/>
            <family val="2"/>
          </rPr>
          <t>This value is assigned by the user.</t>
        </r>
        <r>
          <rPr>
            <sz val="8"/>
            <color indexed="81"/>
            <rFont val="Tahoma"/>
            <family val="2"/>
          </rPr>
          <t xml:space="preserve">
</t>
        </r>
      </text>
    </comment>
    <comment ref="L36" authorId="0" shapeId="0" xr:uid="{00000000-0006-0000-0200-00005B000000}">
      <text>
        <r>
          <rPr>
            <b/>
            <sz val="8"/>
            <color indexed="81"/>
            <rFont val="Tahoma"/>
            <family val="2"/>
          </rPr>
          <t>This value is assigned by the user.</t>
        </r>
        <r>
          <rPr>
            <sz val="8"/>
            <color indexed="81"/>
            <rFont val="Tahoma"/>
            <family val="2"/>
          </rPr>
          <t xml:space="preserve">
</t>
        </r>
      </text>
    </comment>
    <comment ref="A37" authorId="0" shapeId="0" xr:uid="{00000000-0006-0000-0200-00005C000000}">
      <text>
        <r>
          <rPr>
            <b/>
            <sz val="8"/>
            <color indexed="81"/>
            <rFont val="Tahoma"/>
            <family val="2"/>
          </rPr>
          <t>TRUE if Container Login is in play. Otherwise , FALSE. This is set programmatically.</t>
        </r>
      </text>
    </comment>
    <comment ref="P37" authorId="0" shapeId="0" xr:uid="{00000000-0006-0000-0200-00005D000000}">
      <text>
        <r>
          <rPr>
            <b/>
            <sz val="8"/>
            <color indexed="81"/>
            <rFont val="Tahoma"/>
            <family val="2"/>
          </rPr>
          <t>Default Sample Type</t>
        </r>
        <r>
          <rPr>
            <sz val="8"/>
            <color indexed="81"/>
            <rFont val="Tahoma"/>
            <family val="2"/>
          </rPr>
          <t xml:space="preserve">
</t>
        </r>
      </text>
    </comment>
    <comment ref="P38" authorId="0" shapeId="0" xr:uid="{00000000-0006-0000-0200-00005E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S38" authorId="0" shapeId="0" xr:uid="{00000000-0006-0000-0200-00005F000000}">
      <text>
        <r>
          <rPr>
            <b/>
            <sz val="8"/>
            <color indexed="81"/>
            <rFont val="Tahoma"/>
            <family val="2"/>
          </rPr>
          <t>Default Sample Type</t>
        </r>
        <r>
          <rPr>
            <sz val="8"/>
            <color indexed="81"/>
            <rFont val="Tahoma"/>
            <family val="2"/>
          </rPr>
          <t xml:space="preserve">
</t>
        </r>
      </text>
    </comment>
    <comment ref="P39" authorId="0" shapeId="0" xr:uid="{00000000-0006-0000-0200-000060000000}">
      <text>
        <r>
          <rPr>
            <b/>
            <sz val="8"/>
            <color indexed="81"/>
            <rFont val="Tahoma"/>
            <family val="2"/>
          </rPr>
          <t>Default Sample Type</t>
        </r>
        <r>
          <rPr>
            <sz val="8"/>
            <color indexed="81"/>
            <rFont val="Tahoma"/>
            <family val="2"/>
          </rPr>
          <t xml:space="preserve">
</t>
        </r>
      </text>
    </comment>
    <comment ref="S39" authorId="0" shapeId="0" xr:uid="{00000000-0006-0000-0200-000061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P40" authorId="0" shapeId="0" xr:uid="{00000000-0006-0000-0200-000062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S40" authorId="0" shapeId="0" xr:uid="{00000000-0006-0000-0200-000063000000}">
      <text>
        <r>
          <rPr>
            <b/>
            <sz val="8"/>
            <color indexed="81"/>
            <rFont val="Tahoma"/>
            <family val="2"/>
          </rPr>
          <t>Default Sample Type</t>
        </r>
        <r>
          <rPr>
            <sz val="8"/>
            <color indexed="81"/>
            <rFont val="Tahoma"/>
            <family val="2"/>
          </rPr>
          <t xml:space="preserve">
</t>
        </r>
      </text>
    </comment>
    <comment ref="A41" authorId="0" shapeId="0" xr:uid="{00000000-0006-0000-0200-000064000000}">
      <text>
        <r>
          <rPr>
            <b/>
            <sz val="8"/>
            <color indexed="81"/>
            <rFont val="Tahoma"/>
            <family val="2"/>
          </rPr>
          <t>Stores the current column. Used when navigating to Instrument Importing and back.
Programmatically set!!</t>
        </r>
        <r>
          <rPr>
            <sz val="8"/>
            <color indexed="81"/>
            <rFont val="Tahoma"/>
            <family val="2"/>
          </rPr>
          <t xml:space="preserve">
</t>
        </r>
      </text>
    </comment>
    <comment ref="S41" authorId="0" shapeId="0" xr:uid="{00000000-0006-0000-0200-000065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A43" authorId="0" shapeId="0" xr:uid="{00000000-0006-0000-0200-000066000000}">
      <text>
        <r>
          <rPr>
            <b/>
            <sz val="8"/>
            <color indexed="81"/>
            <rFont val="Tahoma"/>
            <family val="2"/>
          </rPr>
          <t>Stores the sample type of the current sample. Used with Instrument Importing.
Programmitically set!!</t>
        </r>
        <r>
          <rPr>
            <sz val="8"/>
            <color indexed="81"/>
            <rFont val="Tahoma"/>
            <family val="2"/>
          </rPr>
          <t xml:space="preserve">
</t>
        </r>
      </text>
    </comment>
    <comment ref="A46" authorId="0" shapeId="0" xr:uid="{00000000-0006-0000-0200-000067000000}">
      <text>
        <r>
          <rPr>
            <b/>
            <sz val="8"/>
            <color indexed="81"/>
            <rFont val="Tahoma"/>
            <family val="2"/>
          </rPr>
          <t>The HORIZON Receiving Code used when the sample status is "NO BOTTLE"</t>
        </r>
      </text>
    </comment>
    <comment ref="T48" authorId="1" shapeId="0" xr:uid="{00000000-0006-0000-0200-000068000000}">
      <text>
        <r>
          <rPr>
            <b/>
            <sz val="8"/>
            <color indexed="81"/>
            <rFont val="Tahoma"/>
            <family val="2"/>
          </rPr>
          <t>This is used in conjunction with setting a sample (column) status to NO BOTTLE and, if necessary, back again.
If the user sets the status to NO BOTTLE, the program will search this table and store the current value in the row under the Revert To column and then update the rows with the Default value. If the user switches from NO BOTTLE to some other status, the program will search this table and update the rows with the Revert To value.
If the program encounters a "Now()" value in the Default column, it will place the current Date/Time into the row listed under "Row".</t>
        </r>
        <r>
          <rPr>
            <sz val="8"/>
            <color indexed="81"/>
            <rFont val="Tahoma"/>
            <family val="2"/>
          </rPr>
          <t xml:space="preserve">
</t>
        </r>
      </text>
    </comment>
    <comment ref="A49" authorId="0" shapeId="0" xr:uid="{00000000-0006-0000-0200-000069000000}">
      <text>
        <r>
          <rPr>
            <b/>
            <sz val="8"/>
            <color indexed="81"/>
            <rFont val="Tahoma"/>
            <family val="2"/>
          </rPr>
          <t>SCR:15474 - This value is set to FALSE during each FETCH process. If, at any time during the editing of the Main worksheet, a "field" parameter is given a value, this switch will be set to TRUE. A TRUE value in this cell will inform the DELIVERY process to create a batch for schedules with field parameters. A FALSE value will ignore and bypass the batching process.
This value is set programmatically. Do not alter.</t>
        </r>
        <r>
          <rPr>
            <sz val="8"/>
            <color indexed="81"/>
            <rFont val="Tahoma"/>
            <family val="2"/>
          </rPr>
          <t xml:space="preserve">
</t>
        </r>
      </text>
    </comment>
    <comment ref="A52" authorId="0" shapeId="0" xr:uid="{00000000-0006-0000-0200-00006A000000}">
      <text>
        <r>
          <rPr>
            <b/>
            <sz val="8"/>
            <color indexed="81"/>
            <rFont val="Tahoma"/>
            <family val="2"/>
          </rPr>
          <t>Used to gauge performance. Set programmatically.</t>
        </r>
      </text>
    </comment>
    <comment ref="A55" authorId="0" shapeId="0" xr:uid="{00000000-0006-0000-0200-00006B000000}">
      <text>
        <r>
          <rPr>
            <b/>
            <sz val="8"/>
            <color indexed="81"/>
            <rFont val="Tahoma"/>
            <family val="2"/>
          </rPr>
          <t>Location where Diagnostics file can be located.</t>
        </r>
      </text>
    </comment>
    <comment ref="A58" authorId="0" shapeId="0" xr:uid="{00000000-0006-0000-0200-00006C000000}">
      <text>
        <r>
          <rPr>
            <b/>
            <sz val="8"/>
            <color indexed="81"/>
            <rFont val="Tahoma"/>
            <family val="2"/>
          </rPr>
          <t>Used in conjunction with the Diagnostics Log for elapsed time purposes.</t>
        </r>
        <r>
          <rPr>
            <sz val="8"/>
            <color indexed="81"/>
            <rFont val="Tahoma"/>
            <family val="2"/>
          </rPr>
          <t xml:space="preserve">
</t>
        </r>
      </text>
    </comment>
    <comment ref="A61" authorId="1" shapeId="0" xr:uid="{00000000-0006-0000-0200-00006D000000}">
      <text>
        <r>
          <rPr>
            <b/>
            <sz val="8"/>
            <color indexed="81"/>
            <rFont val="Tahoma"/>
            <family val="2"/>
          </rPr>
          <t>When Fetching data from HORIZON, the user declares if they want to build controls or not. This value is the last decision they made and it will be used to update the Fetch form. 
This is updated programmatically.</t>
        </r>
        <r>
          <rPr>
            <sz val="8"/>
            <color indexed="81"/>
            <rFont val="Tahoma"/>
            <family val="2"/>
          </rPr>
          <t xml:space="preserve">
</t>
        </r>
      </text>
    </comment>
    <comment ref="A64" authorId="1" shapeId="0" xr:uid="{00000000-0006-0000-0200-00006E000000}">
      <text>
        <r>
          <rPr>
            <b/>
            <sz val="8"/>
            <color indexed="81"/>
            <rFont val="Tahoma"/>
            <family val="2"/>
          </rPr>
          <t>There are 2 locations where the Opening/Closing Controls can be dynamically deleted: (1) During the Fetch and (2) On the View form after clicking the View button. If your organization does NOT want users to be able to perform a delete, then enter FALSE in this field. Doing so will disable those features.</t>
        </r>
        <r>
          <rPr>
            <sz val="8"/>
            <color indexed="81"/>
            <rFont val="Tahoma"/>
            <family val="2"/>
          </rPr>
          <t xml:space="preserve">
</t>
        </r>
      </text>
    </comment>
    <comment ref="A67" authorId="1" shapeId="0" xr:uid="{00000000-0006-0000-0200-00006F000000}">
      <text>
        <r>
          <rPr>
            <b/>
            <sz val="8"/>
            <color indexed="81"/>
            <rFont val="Tahoma"/>
            <family val="2"/>
          </rPr>
          <t>SCR:17387 - This value is specific to a change request for a specific customer. This is directly related to the DAO control cmbSlot9 on the Main Worksheet. If the role of this object should change, this value will become unused.</t>
        </r>
        <r>
          <rPr>
            <sz val="8"/>
            <color indexed="81"/>
            <rFont val="Tahoma"/>
            <family val="2"/>
          </rPr>
          <t xml:space="preserve">
</t>
        </r>
      </text>
    </comment>
    <comment ref="A70" authorId="1" shapeId="0" xr:uid="{00000000-0006-0000-0200-000070000000}">
      <text>
        <r>
          <rPr>
            <b/>
            <sz val="8"/>
            <color indexed="81"/>
            <rFont val="Tahoma"/>
            <family val="2"/>
          </rPr>
          <t>The following 3 values: (1) Pass, (2) Warning and (3) Failure are used exclusively by the Field Test Report. Whatever value is placed in the boxes will be the values used on the report when those conditions are met.</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R. Cole</author>
  </authors>
  <commentList>
    <comment ref="J3" authorId="0" shapeId="0" xr:uid="{00000000-0006-0000-0300-000001000000}">
      <text>
        <r>
          <rPr>
            <b/>
            <sz val="8"/>
            <color indexed="81"/>
            <rFont val="Tahoma"/>
            <family val="2"/>
          </rPr>
          <t>Formatted Name</t>
        </r>
        <r>
          <rPr>
            <sz val="8"/>
            <color indexed="81"/>
            <rFont val="Tahoma"/>
            <family val="2"/>
          </rPr>
          <t xml:space="preserve">
</t>
        </r>
      </text>
    </comment>
    <comment ref="K3" authorId="0" shapeId="0" xr:uid="{00000000-0006-0000-0300-000002000000}">
      <text>
        <r>
          <rPr>
            <b/>
            <sz val="8"/>
            <color indexed="81"/>
            <rFont val="Tahoma"/>
            <family val="2"/>
          </rPr>
          <t>Address Seq</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R. Cole</author>
    <author>Tom Cole</author>
    <author>Tompkins, Michael</author>
  </authors>
  <commentList>
    <comment ref="G4" authorId="0" shapeId="0" xr:uid="{00000000-0006-0000-0400-000001000000}">
      <text>
        <r>
          <rPr>
            <b/>
            <sz val="8"/>
            <color indexed="81"/>
            <rFont val="Tahoma"/>
            <family val="2"/>
          </rPr>
          <t>Starting Column</t>
        </r>
        <r>
          <rPr>
            <sz val="8"/>
            <color indexed="81"/>
            <rFont val="Tahoma"/>
            <family val="2"/>
          </rPr>
          <t xml:space="preserve">
</t>
        </r>
      </text>
    </comment>
    <comment ref="H4" authorId="0" shapeId="0" xr:uid="{00000000-0006-0000-0400-000002000000}">
      <text>
        <r>
          <rPr>
            <b/>
            <sz val="8"/>
            <color indexed="81"/>
            <rFont val="Tahoma"/>
            <family val="2"/>
          </rPr>
          <t>Ending Column</t>
        </r>
        <r>
          <rPr>
            <sz val="8"/>
            <color indexed="81"/>
            <rFont val="Tahoma"/>
            <family val="2"/>
          </rPr>
          <t xml:space="preserve">
</t>
        </r>
      </text>
    </comment>
    <comment ref="G5" authorId="0" shapeId="0" xr:uid="{00000000-0006-0000-0400-000003000000}">
      <text>
        <r>
          <rPr>
            <b/>
            <sz val="8"/>
            <color indexed="81"/>
            <rFont val="Tahoma"/>
            <family val="2"/>
          </rPr>
          <t>Starting Row</t>
        </r>
        <r>
          <rPr>
            <sz val="8"/>
            <color indexed="81"/>
            <rFont val="Tahoma"/>
            <family val="2"/>
          </rPr>
          <t xml:space="preserve">
</t>
        </r>
      </text>
    </comment>
    <comment ref="H5" authorId="0" shapeId="0" xr:uid="{00000000-0006-0000-0400-000004000000}">
      <text>
        <r>
          <rPr>
            <b/>
            <sz val="8"/>
            <color indexed="81"/>
            <rFont val="Tahoma"/>
            <family val="2"/>
          </rPr>
          <t>Ending Row - calculated programmatically</t>
        </r>
        <r>
          <rPr>
            <sz val="8"/>
            <color indexed="81"/>
            <rFont val="Tahoma"/>
            <family val="2"/>
          </rPr>
          <t xml:space="preserve">
</t>
        </r>
      </text>
    </comment>
    <comment ref="V7" authorId="0" shapeId="0" xr:uid="{00000000-0006-0000-0400-000005000000}">
      <text>
        <r>
          <rPr>
            <b/>
            <sz val="8"/>
            <color indexed="81"/>
            <rFont val="Tahoma"/>
            <family val="2"/>
          </rPr>
          <t>Used for data binding. DO NOT DELETE!</t>
        </r>
      </text>
    </comment>
    <comment ref="I11" authorId="1" shapeId="0" xr:uid="{00000000-0006-0000-0400-000006000000}">
      <text>
        <r>
          <rPr>
            <b/>
            <sz val="8"/>
            <color indexed="81"/>
            <rFont val="Tahoma"/>
            <family val="2"/>
          </rPr>
          <t>Do not use this field to determine Pass/Fail condition. If value is FALSE, ignore.</t>
        </r>
      </text>
    </comment>
    <comment ref="M15" authorId="2" shapeId="0" xr:uid="{00000000-0006-0000-0400-000007000000}">
      <text>
        <r>
          <rPr>
            <sz val="9"/>
            <color indexed="81"/>
            <rFont val="Tahoma"/>
            <family val="2"/>
          </rPr>
          <t>ERROR: Missing required value!</t>
        </r>
      </text>
    </comment>
    <comment ref="O15" authorId="2" shapeId="0" xr:uid="{00000000-0006-0000-0400-000008000000}">
      <text>
        <r>
          <rPr>
            <sz val="9"/>
            <color indexed="81"/>
            <rFont val="Tahoma"/>
            <family val="2"/>
          </rPr>
          <t>ERROR: Missing required value!</t>
        </r>
      </text>
    </comment>
    <comment ref="T15" authorId="2" shapeId="0" xr:uid="{00000000-0006-0000-0400-000009000000}">
      <text>
        <r>
          <rPr>
            <sz val="9"/>
            <color indexed="81"/>
            <rFont val="Tahoma"/>
            <family val="2"/>
          </rPr>
          <t>ERROR: Missing required value!</t>
        </r>
      </text>
    </comment>
    <comment ref="M16" authorId="2" shapeId="0" xr:uid="{00000000-0006-0000-0400-00000A000000}">
      <text>
        <r>
          <rPr>
            <sz val="9"/>
            <color indexed="81"/>
            <rFont val="Tahoma"/>
            <family val="2"/>
          </rPr>
          <t>ERROR: Missing required value!</t>
        </r>
      </text>
    </comment>
    <comment ref="O16" authorId="2" shapeId="0" xr:uid="{00000000-0006-0000-0400-00000B000000}">
      <text>
        <r>
          <rPr>
            <sz val="9"/>
            <color indexed="81"/>
            <rFont val="Tahoma"/>
            <family val="2"/>
          </rPr>
          <t>ERROR: Missing required value!</t>
        </r>
      </text>
    </comment>
    <comment ref="T16" authorId="2" shapeId="0" xr:uid="{00000000-0006-0000-0400-00000C000000}">
      <text>
        <r>
          <rPr>
            <sz val="9"/>
            <color indexed="81"/>
            <rFont val="Tahoma"/>
            <family val="2"/>
          </rPr>
          <t>ERROR: Missing required value!</t>
        </r>
      </text>
    </comment>
    <comment ref="M17" authorId="2" shapeId="0" xr:uid="{00000000-0006-0000-0400-00000D000000}">
      <text>
        <r>
          <rPr>
            <sz val="9"/>
            <color indexed="81"/>
            <rFont val="Tahoma"/>
            <family val="2"/>
          </rPr>
          <t>ERROR: Missing required value!</t>
        </r>
      </text>
    </comment>
    <comment ref="O17" authorId="2" shapeId="0" xr:uid="{00000000-0006-0000-0400-00000E000000}">
      <text>
        <r>
          <rPr>
            <sz val="9"/>
            <color indexed="81"/>
            <rFont val="Tahoma"/>
            <family val="2"/>
          </rPr>
          <t>ERROR: Missing required value!</t>
        </r>
      </text>
    </comment>
    <comment ref="T17" authorId="2" shapeId="0" xr:uid="{00000000-0006-0000-0400-00000F000000}">
      <text>
        <r>
          <rPr>
            <sz val="9"/>
            <color indexed="81"/>
            <rFont val="Tahoma"/>
            <family val="2"/>
          </rPr>
          <t>ERROR: Missing required value!</t>
        </r>
      </text>
    </comment>
    <comment ref="M18" authorId="2" shapeId="0" xr:uid="{00000000-0006-0000-0400-000010000000}">
      <text>
        <r>
          <rPr>
            <sz val="9"/>
            <color indexed="81"/>
            <rFont val="Tahoma"/>
            <family val="2"/>
          </rPr>
          <t>ERROR: Missing required value!</t>
        </r>
      </text>
    </comment>
    <comment ref="Q18" authorId="2" shapeId="0" xr:uid="{00000000-0006-0000-0400-000011000000}">
      <text>
        <r>
          <rPr>
            <sz val="9"/>
            <color indexed="81"/>
            <rFont val="Tahoma"/>
            <family val="2"/>
          </rPr>
          <t>ERROR: Missing required value!</t>
        </r>
      </text>
    </comment>
    <comment ref="T18" authorId="2" shapeId="0" xr:uid="{00000000-0006-0000-0400-000012000000}">
      <text>
        <r>
          <rPr>
            <sz val="9"/>
            <color indexed="81"/>
            <rFont val="Tahoma"/>
            <family val="2"/>
          </rPr>
          <t>ERROR: Missing required value!</t>
        </r>
      </text>
    </comment>
    <comment ref="M19" authorId="2" shapeId="0" xr:uid="{00000000-0006-0000-0400-000013000000}">
      <text>
        <r>
          <rPr>
            <sz val="9"/>
            <color indexed="81"/>
            <rFont val="Tahoma"/>
            <family val="2"/>
          </rPr>
          <t>ERROR: Missing required value!</t>
        </r>
      </text>
    </comment>
    <comment ref="Q19" authorId="2" shapeId="0" xr:uid="{00000000-0006-0000-0400-000014000000}">
      <text>
        <r>
          <rPr>
            <sz val="9"/>
            <color indexed="81"/>
            <rFont val="Tahoma"/>
            <family val="2"/>
          </rPr>
          <t>ERROR: Missing required value!</t>
        </r>
      </text>
    </comment>
    <comment ref="T19" authorId="2" shapeId="0" xr:uid="{00000000-0006-0000-0400-000015000000}">
      <text>
        <r>
          <rPr>
            <sz val="9"/>
            <color indexed="81"/>
            <rFont val="Tahoma"/>
            <family val="2"/>
          </rPr>
          <t>ERROR: Missing required value!</t>
        </r>
      </text>
    </comment>
    <comment ref="M20" authorId="2" shapeId="0" xr:uid="{00000000-0006-0000-0400-000016000000}">
      <text>
        <r>
          <rPr>
            <sz val="9"/>
            <color indexed="81"/>
            <rFont val="Tahoma"/>
            <family val="2"/>
          </rPr>
          <t>ERROR: Missing required value!</t>
        </r>
      </text>
    </comment>
    <comment ref="Q20" authorId="2" shapeId="0" xr:uid="{00000000-0006-0000-0400-000017000000}">
      <text>
        <r>
          <rPr>
            <sz val="9"/>
            <color indexed="81"/>
            <rFont val="Tahoma"/>
            <family val="2"/>
          </rPr>
          <t>ERROR: Missing required value!</t>
        </r>
      </text>
    </comment>
    <comment ref="T20" authorId="2" shapeId="0" xr:uid="{00000000-0006-0000-0400-000018000000}">
      <text>
        <r>
          <rPr>
            <sz val="9"/>
            <color indexed="81"/>
            <rFont val="Tahoma"/>
            <family val="2"/>
          </rPr>
          <t>ERROR: Missing required value!</t>
        </r>
      </text>
    </comment>
    <comment ref="M21" authorId="2" shapeId="0" xr:uid="{00000000-0006-0000-0400-000019000000}">
      <text>
        <r>
          <rPr>
            <sz val="9"/>
            <color indexed="81"/>
            <rFont val="Tahoma"/>
            <family val="2"/>
          </rPr>
          <t>ERROR: Missing required value!</t>
        </r>
      </text>
    </comment>
    <comment ref="P21" authorId="2" shapeId="0" xr:uid="{00000000-0006-0000-0400-00001A000000}">
      <text>
        <r>
          <rPr>
            <sz val="9"/>
            <color indexed="81"/>
            <rFont val="Tahoma"/>
            <family val="2"/>
          </rPr>
          <t>ERROR: Missing required value!</t>
        </r>
      </text>
    </comment>
    <comment ref="R21" authorId="2" shapeId="0" xr:uid="{00000000-0006-0000-0400-00001B000000}">
      <text>
        <r>
          <rPr>
            <sz val="9"/>
            <color indexed="81"/>
            <rFont val="Tahoma"/>
            <family val="2"/>
          </rPr>
          <t>ERROR: Missing required value!</t>
        </r>
      </text>
    </comment>
    <comment ref="T21" authorId="2" shapeId="0" xr:uid="{00000000-0006-0000-0400-00001C000000}">
      <text>
        <r>
          <rPr>
            <sz val="9"/>
            <color indexed="81"/>
            <rFont val="Tahoma"/>
            <family val="2"/>
          </rPr>
          <t>ERROR: Missing required value!</t>
        </r>
      </text>
    </comment>
    <comment ref="M24" authorId="2" shapeId="0" xr:uid="{00000000-0006-0000-0400-00001D000000}">
      <text>
        <r>
          <rPr>
            <sz val="9"/>
            <color indexed="81"/>
            <rFont val="Tahoma"/>
            <family val="2"/>
          </rPr>
          <t>ERROR: Missing required value!</t>
        </r>
      </text>
    </comment>
    <comment ref="O24" authorId="2" shapeId="0" xr:uid="{00000000-0006-0000-0400-00001E000000}">
      <text>
        <r>
          <rPr>
            <sz val="9"/>
            <color indexed="81"/>
            <rFont val="Tahoma"/>
            <family val="2"/>
          </rPr>
          <t>ERROR: Missing required value!</t>
        </r>
      </text>
    </comment>
    <comment ref="T24" authorId="2" shapeId="0" xr:uid="{00000000-0006-0000-0400-00001F000000}">
      <text>
        <r>
          <rPr>
            <sz val="9"/>
            <color indexed="81"/>
            <rFont val="Tahoma"/>
            <family val="2"/>
          </rPr>
          <t>ERROR: Missing required value!</t>
        </r>
      </text>
    </comment>
    <comment ref="M25" authorId="2" shapeId="0" xr:uid="{00000000-0006-0000-0400-000020000000}">
      <text>
        <r>
          <rPr>
            <sz val="9"/>
            <color indexed="81"/>
            <rFont val="Tahoma"/>
            <family val="2"/>
          </rPr>
          <t>ERROR: Missing required value!</t>
        </r>
      </text>
    </comment>
    <comment ref="O25" authorId="2" shapeId="0" xr:uid="{00000000-0006-0000-0400-000021000000}">
      <text>
        <r>
          <rPr>
            <sz val="9"/>
            <color indexed="81"/>
            <rFont val="Tahoma"/>
            <family val="2"/>
          </rPr>
          <t>ERROR: Missing required value!</t>
        </r>
      </text>
    </comment>
    <comment ref="T25" authorId="2" shapeId="0" xr:uid="{00000000-0006-0000-0400-000022000000}">
      <text>
        <r>
          <rPr>
            <sz val="9"/>
            <color indexed="81"/>
            <rFont val="Tahoma"/>
            <family val="2"/>
          </rPr>
          <t>ERROR: Missing required value!</t>
        </r>
      </text>
    </comment>
    <comment ref="M26" authorId="2" shapeId="0" xr:uid="{00000000-0006-0000-0400-000023000000}">
      <text>
        <r>
          <rPr>
            <sz val="9"/>
            <color indexed="81"/>
            <rFont val="Tahoma"/>
            <family val="2"/>
          </rPr>
          <t>ERROR: Missing required value!</t>
        </r>
      </text>
    </comment>
    <comment ref="Q26" authorId="2" shapeId="0" xr:uid="{00000000-0006-0000-0400-000024000000}">
      <text>
        <r>
          <rPr>
            <sz val="9"/>
            <color indexed="81"/>
            <rFont val="Tahoma"/>
            <family val="2"/>
          </rPr>
          <t>ERROR: Missing required value!</t>
        </r>
      </text>
    </comment>
    <comment ref="T26" authorId="2" shapeId="0" xr:uid="{00000000-0006-0000-0400-000025000000}">
      <text>
        <r>
          <rPr>
            <sz val="9"/>
            <color indexed="81"/>
            <rFont val="Tahoma"/>
            <family val="2"/>
          </rPr>
          <t>ERROR: Missing required value!</t>
        </r>
      </text>
    </comment>
    <comment ref="M27" authorId="2" shapeId="0" xr:uid="{00000000-0006-0000-0400-000026000000}">
      <text>
        <r>
          <rPr>
            <sz val="9"/>
            <color indexed="81"/>
            <rFont val="Tahoma"/>
            <family val="2"/>
          </rPr>
          <t>ERROR: Missing required value!</t>
        </r>
      </text>
    </comment>
    <comment ref="Q27" authorId="2" shapeId="0" xr:uid="{00000000-0006-0000-0400-000027000000}">
      <text>
        <r>
          <rPr>
            <sz val="9"/>
            <color indexed="81"/>
            <rFont val="Tahoma"/>
            <family val="2"/>
          </rPr>
          <t>ERROR: Missing required value!</t>
        </r>
      </text>
    </comment>
    <comment ref="T27" authorId="2" shapeId="0" xr:uid="{00000000-0006-0000-0400-000028000000}">
      <text>
        <r>
          <rPr>
            <sz val="9"/>
            <color indexed="81"/>
            <rFont val="Tahoma"/>
            <family val="2"/>
          </rPr>
          <t>ERROR: Missing required value!</t>
        </r>
      </text>
    </comment>
    <comment ref="M28" authorId="2" shapeId="0" xr:uid="{00000000-0006-0000-0400-000029000000}">
      <text>
        <r>
          <rPr>
            <sz val="9"/>
            <color indexed="81"/>
            <rFont val="Tahoma"/>
            <family val="2"/>
          </rPr>
          <t>ERROR: Missing required value!</t>
        </r>
      </text>
    </comment>
    <comment ref="P28" authorId="2" shapeId="0" xr:uid="{00000000-0006-0000-0400-00002A000000}">
      <text>
        <r>
          <rPr>
            <sz val="9"/>
            <color indexed="81"/>
            <rFont val="Tahoma"/>
            <family val="2"/>
          </rPr>
          <t>ERROR: Missing required value!</t>
        </r>
      </text>
    </comment>
    <comment ref="R28" authorId="2" shapeId="0" xr:uid="{00000000-0006-0000-0400-00002B000000}">
      <text>
        <r>
          <rPr>
            <sz val="9"/>
            <color indexed="81"/>
            <rFont val="Tahoma"/>
            <family val="2"/>
          </rPr>
          <t>ERROR: Missing required value!</t>
        </r>
      </text>
    </comment>
    <comment ref="T28" authorId="2" shapeId="0" xr:uid="{00000000-0006-0000-0400-00002C000000}">
      <text>
        <r>
          <rPr>
            <sz val="9"/>
            <color indexed="81"/>
            <rFont val="Tahoma"/>
            <family val="2"/>
          </rPr>
          <t>ERROR: Missing required value!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R. Cole</author>
  </authors>
  <commentList>
    <comment ref="H1" authorId="0" shapeId="0" xr:uid="{00000000-0006-0000-0500-000001000000}">
      <text>
        <r>
          <rPr>
            <b/>
            <sz val="8"/>
            <color indexed="81"/>
            <rFont val="Tahoma"/>
            <family val="2"/>
          </rPr>
          <t>Used to determine length of comment line.</t>
        </r>
        <r>
          <rPr>
            <sz val="8"/>
            <color indexed="81"/>
            <rFont val="Tahoma"/>
            <family val="2"/>
          </rPr>
          <t xml:space="preserve">
</t>
        </r>
      </text>
    </comment>
    <comment ref="J18" authorId="0" shapeId="0" xr:uid="{00000000-0006-0000-0500-000002000000}">
      <text>
        <r>
          <rPr>
            <b/>
            <sz val="8"/>
            <color indexed="81"/>
            <rFont val="Tahoma"/>
            <family val="2"/>
          </rPr>
          <t>True if there is an "alternate" value requiring a look-up.</t>
        </r>
        <r>
          <rPr>
            <sz val="8"/>
            <color indexed="81"/>
            <rFont val="Tahoma"/>
            <family val="2"/>
          </rPr>
          <t xml:space="preserve">
</t>
        </r>
      </text>
    </comment>
    <comment ref="J19" authorId="0" shapeId="0" xr:uid="{00000000-0006-0000-0500-000003000000}">
      <text>
        <r>
          <rPr>
            <b/>
            <sz val="8"/>
            <color indexed="81"/>
            <rFont val="Tahoma"/>
            <family val="2"/>
          </rPr>
          <t>Row value identifying location of data on Main</t>
        </r>
      </text>
    </comment>
    <comment ref="AA19" authorId="0" shapeId="0" xr:uid="{00000000-0006-0000-0500-000004000000}">
      <text>
        <r>
          <rPr>
            <b/>
            <sz val="8"/>
            <color indexed="81"/>
            <rFont val="Tahoma"/>
            <family val="2"/>
          </rPr>
          <t>Used for data binding. DO NOT DELETE!</t>
        </r>
        <r>
          <rPr>
            <sz val="8"/>
            <color indexed="81"/>
            <rFont val="Tahoma"/>
            <family val="2"/>
          </rPr>
          <t xml:space="preserve">
</t>
        </r>
      </text>
    </comment>
    <comment ref="I28" authorId="0" shapeId="0" xr:uid="{00000000-0006-0000-0500-000005000000}">
      <text>
        <r>
          <rPr>
            <b/>
            <sz val="8"/>
            <color indexed="81"/>
            <rFont val="Tahoma"/>
            <family val="2"/>
          </rPr>
          <t>Used for data binding. DO NOT DELETE!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R. Cole</author>
  </authors>
  <commentList>
    <comment ref="H1" authorId="0" shapeId="0" xr:uid="{00000000-0006-0000-0600-000001000000}">
      <text>
        <r>
          <rPr>
            <b/>
            <sz val="8"/>
            <color indexed="81"/>
            <rFont val="Tahoma"/>
            <family val="2"/>
          </rPr>
          <t>Maximum number of chars a single line of "comment" can accommodate.</t>
        </r>
        <r>
          <rPr>
            <sz val="8"/>
            <color indexed="81"/>
            <rFont val="Tahoma"/>
            <family val="2"/>
          </rPr>
          <t xml:space="preserve">
</t>
        </r>
      </text>
    </comment>
    <comment ref="I1" authorId="0" shapeId="0" xr:uid="{00000000-0006-0000-0600-000002000000}">
      <text>
        <r>
          <rPr>
            <b/>
            <sz val="8"/>
            <color indexed="81"/>
            <rFont val="Tahoma"/>
            <family val="2"/>
          </rPr>
          <t>Number of rows containing data. This value is keyed on during the initialization process.</t>
        </r>
        <r>
          <rPr>
            <sz val="8"/>
            <color indexed="81"/>
            <rFont val="Tahoma"/>
            <family val="2"/>
          </rPr>
          <t xml:space="preserve">
</t>
        </r>
      </text>
    </comment>
    <comment ref="K12" authorId="0" shapeId="0" xr:uid="{00000000-0006-0000-0600-000003000000}">
      <text>
        <r>
          <rPr>
            <b/>
            <sz val="8"/>
            <color indexed="81"/>
            <rFont val="Tahoma"/>
            <family val="2"/>
          </rPr>
          <t>Row location of value on MAIN worksheet</t>
        </r>
        <r>
          <rPr>
            <sz val="8"/>
            <color indexed="81"/>
            <rFont val="Tahoma"/>
            <family val="2"/>
          </rPr>
          <t xml:space="preserve">
</t>
        </r>
      </text>
    </comment>
    <comment ref="R12" authorId="0" shapeId="0" xr:uid="{00000000-0006-0000-0600-000004000000}">
      <text>
        <r>
          <rPr>
            <b/>
            <sz val="8"/>
            <color indexed="81"/>
            <rFont val="Tahoma"/>
            <family val="2"/>
          </rPr>
          <t>Not the HORIZON sample type.</t>
        </r>
        <r>
          <rPr>
            <sz val="8"/>
            <color indexed="81"/>
            <rFont val="Tahoma"/>
            <family val="2"/>
          </rPr>
          <t xml:space="preserve">
</t>
        </r>
      </text>
    </comment>
    <comment ref="AA12" authorId="0" shapeId="0" xr:uid="{00000000-0006-0000-0600-000005000000}">
      <text>
        <r>
          <rPr>
            <b/>
            <sz val="8"/>
            <color indexed="81"/>
            <rFont val="Tahoma"/>
            <family val="2"/>
          </rPr>
          <t>Used for flow control. DO NOT DELETE!</t>
        </r>
        <r>
          <rPr>
            <sz val="8"/>
            <color indexed="81"/>
            <rFont val="Tahoma"/>
            <family val="2"/>
          </rPr>
          <t xml:space="preserve">
</t>
        </r>
      </text>
    </comment>
    <comment ref="I100" authorId="0" shapeId="0" xr:uid="{00000000-0006-0000-0600-000006000000}">
      <text>
        <r>
          <rPr>
            <b/>
            <sz val="8"/>
            <color indexed="81"/>
            <rFont val="Tahoma"/>
            <family val="2"/>
          </rPr>
          <t>Used for Print Area definition - DO NOT REMOVE THIS VALUE!</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Thomas R. Cole</author>
  </authors>
  <commentList>
    <comment ref="D5" authorId="0" shapeId="0" xr:uid="{00000000-0006-0000-0700-000001000000}">
      <text>
        <r>
          <rPr>
            <b/>
            <sz val="8"/>
            <color indexed="81"/>
            <rFont val="Tahoma"/>
            <family val="2"/>
          </rPr>
          <t>Row number on Main where this parameter is located. This is for QC samples only!</t>
        </r>
        <r>
          <rPr>
            <sz val="8"/>
            <color indexed="81"/>
            <rFont val="Tahoma"/>
            <family val="2"/>
          </rPr>
          <t xml:space="preserve">
</t>
        </r>
      </text>
    </comment>
    <comment ref="E5" authorId="0" shapeId="0" xr:uid="{00000000-0006-0000-0700-000002000000}">
      <text>
        <r>
          <rPr>
            <b/>
            <sz val="8"/>
            <color indexed="81"/>
            <rFont val="Tahoma"/>
            <family val="2"/>
          </rPr>
          <t>Row number on Main where this parameter is located. This is for Production samples only!</t>
        </r>
        <r>
          <rPr>
            <sz val="8"/>
            <color indexed="81"/>
            <rFont val="Tahoma"/>
            <family val="2"/>
          </rPr>
          <t xml:space="preserve">
</t>
        </r>
      </text>
    </comment>
  </commentList>
</comments>
</file>

<file path=xl/sharedStrings.xml><?xml version="1.0" encoding="utf-8"?>
<sst xmlns="http://schemas.openxmlformats.org/spreadsheetml/2006/main" count="7933" uniqueCount="4820">
  <si>
    <t>Allow Delete of Controls</t>
  </si>
  <si>
    <t>Values to Enable Auto Hide</t>
  </si>
  <si>
    <t>Field Trip Report - Pass</t>
  </si>
  <si>
    <t>Field Trip Report - Warning</t>
  </si>
  <si>
    <t>Field Trip Report - Failure Value</t>
  </si>
  <si>
    <t>Celsius</t>
  </si>
  <si>
    <t>Units</t>
  </si>
  <si>
    <t>mg/L</t>
  </si>
  <si>
    <t>NO-CONTROL</t>
  </si>
  <si>
    <t>UNITS</t>
  </si>
  <si>
    <t>C_DATETIME</t>
  </si>
  <si>
    <t>Subject to P/F</t>
  </si>
  <si>
    <t>000000</t>
  </si>
  <si>
    <t>PEST</t>
  </si>
  <si>
    <t xml:space="preserve">Pernett, Ximena </t>
  </si>
  <si>
    <t>XP</t>
  </si>
  <si>
    <t>Powers, Matt O</t>
  </si>
  <si>
    <t>MOP</t>
  </si>
  <si>
    <t xml:space="preserve">Price, Linda </t>
  </si>
  <si>
    <t xml:space="preserve">Quick, Emilie </t>
  </si>
  <si>
    <t>EQ</t>
  </si>
  <si>
    <t xml:space="preserve">Rodusky, Andy </t>
  </si>
  <si>
    <t>AR</t>
  </si>
  <si>
    <t>DR</t>
  </si>
  <si>
    <t xml:space="preserve">Ruiz, Deena </t>
  </si>
  <si>
    <t>ES</t>
  </si>
  <si>
    <t>ST1E</t>
  </si>
  <si>
    <t>Sampling Depth (m)</t>
  </si>
  <si>
    <t>Total Depth (m)</t>
  </si>
  <si>
    <t>Secchi Depth (m)</t>
  </si>
  <si>
    <t>Weather:</t>
  </si>
  <si>
    <t>Weather Obs.</t>
  </si>
  <si>
    <t>CB</t>
  </si>
  <si>
    <t>SM</t>
  </si>
  <si>
    <t>FCEB</t>
  </si>
  <si>
    <t>Temp!R4C44:R600C45</t>
  </si>
  <si>
    <t>Trip Frequency</t>
  </si>
  <si>
    <t>Collector 1 Tasks</t>
  </si>
  <si>
    <t>Collector 2 Tasks</t>
  </si>
  <si>
    <t>Collector 3 Tasks</t>
  </si>
  <si>
    <t>Sample Analyst</t>
  </si>
  <si>
    <t>IC/ICV Analyst</t>
  </si>
  <si>
    <t>CCV Analyst</t>
  </si>
  <si>
    <t>H2SO4 VOL4 S/B</t>
  </si>
  <si>
    <t>Sample Analyst:</t>
  </si>
  <si>
    <t>IC/ICV Analyst:</t>
  </si>
  <si>
    <t>CCV Analyst:</t>
  </si>
  <si>
    <t>Frequency:</t>
  </si>
  <si>
    <t>PASS</t>
  </si>
  <si>
    <t>True Value</t>
  </si>
  <si>
    <t>IC</t>
  </si>
  <si>
    <t>Specific Conductance (uS/cm)</t>
  </si>
  <si>
    <t>IC/ICV Location:</t>
  </si>
  <si>
    <t>IC/ICV Solution Set ID:</t>
  </si>
  <si>
    <t>IC/ICV Location</t>
  </si>
  <si>
    <t>IC/ICV Sol Set ID</t>
  </si>
  <si>
    <t>Fst Trig Date/Time</t>
  </si>
  <si>
    <t>n/a</t>
  </si>
  <si>
    <t>Data Rows</t>
  </si>
  <si>
    <t>zzzzz</t>
  </si>
  <si>
    <t>HORIZON USER</t>
  </si>
  <si>
    <t>HORIZON PASSWORD</t>
  </si>
  <si>
    <t>ORACLE USER</t>
  </si>
  <si>
    <t>ORACLE PASSWORD</t>
  </si>
  <si>
    <t>ORACLE DSN</t>
  </si>
  <si>
    <t>PROTECT PASSWORD</t>
  </si>
  <si>
    <t>USER NBR</t>
  </si>
  <si>
    <t>USER NAME</t>
  </si>
  <si>
    <t>CHEMWARE</t>
  </si>
  <si>
    <t>OPENING CONTROLS</t>
  </si>
  <si>
    <t>FIELD SAMPLES</t>
  </si>
  <si>
    <t>CLOSING CONTROLS</t>
  </si>
  <si>
    <t>Status</t>
  </si>
  <si>
    <t>OK</t>
  </si>
  <si>
    <t>Parameter</t>
  </si>
  <si>
    <t>SAMPLE INFORMATION</t>
  </si>
  <si>
    <t>GENERAL</t>
  </si>
  <si>
    <t>DO</t>
  </si>
  <si>
    <t>LAB TESTS</t>
  </si>
  <si>
    <t>Total Rows Used</t>
  </si>
  <si>
    <t>Starting Row</t>
  </si>
  <si>
    <t>Type</t>
  </si>
  <si>
    <t>Table</t>
  </si>
  <si>
    <t>Field</t>
  </si>
  <si>
    <t>Queue</t>
  </si>
  <si>
    <t>Starting Col</t>
  </si>
  <si>
    <t>CANCEL</t>
  </si>
  <si>
    <t>Ending Col</t>
  </si>
  <si>
    <t>NEW</t>
  </si>
  <si>
    <t>Number of Standards</t>
  </si>
  <si>
    <t>Parameter Assigned</t>
  </si>
  <si>
    <t>PH</t>
  </si>
  <si>
    <t>CONDUCTIVITY</t>
  </si>
  <si>
    <t>I</t>
  </si>
  <si>
    <t>N</t>
  </si>
  <si>
    <t>L</t>
  </si>
  <si>
    <t>O</t>
  </si>
  <si>
    <t>D</t>
  </si>
  <si>
    <t>A</t>
  </si>
  <si>
    <t>SAMP</t>
  </si>
  <si>
    <t>P</t>
  </si>
  <si>
    <t>FLD</t>
  </si>
  <si>
    <t>FIELD</t>
  </si>
  <si>
    <t>U</t>
  </si>
  <si>
    <t>LOV AREA - DO NOT MODIFY</t>
  </si>
  <si>
    <t>HSN</t>
  </si>
  <si>
    <t>SAMPLE_SCHEDULE_SEQ</t>
  </si>
  <si>
    <t>REQNBR</t>
  </si>
  <si>
    <t>CmpID</t>
  </si>
  <si>
    <t>Proc_Code</t>
  </si>
  <si>
    <t>AuxFormat</t>
  </si>
  <si>
    <t>AuxType</t>
  </si>
  <si>
    <t>AuxNmbr</t>
  </si>
  <si>
    <t>Default Value</t>
  </si>
  <si>
    <t>LOV Location</t>
  </si>
  <si>
    <t>Output</t>
  </si>
  <si>
    <t>QC</t>
  </si>
  <si>
    <t>BlackOut</t>
  </si>
  <si>
    <t>Order</t>
  </si>
  <si>
    <t>Value</t>
  </si>
  <si>
    <t>Section</t>
  </si>
  <si>
    <t>EVENT</t>
  </si>
  <si>
    <t>DataKey01</t>
  </si>
  <si>
    <t>DataKey02</t>
  </si>
  <si>
    <t>DataKey03</t>
  </si>
  <si>
    <t>DataKey04</t>
  </si>
  <si>
    <t>DataKey05</t>
  </si>
  <si>
    <t>DataKey06</t>
  </si>
  <si>
    <t>DataKey07</t>
  </si>
  <si>
    <t>DataKey08</t>
  </si>
  <si>
    <t>DataKey09</t>
  </si>
  <si>
    <t>DataKey10</t>
  </si>
  <si>
    <t>DataKey11</t>
  </si>
  <si>
    <t>DataKey12</t>
  </si>
  <si>
    <t>Task:</t>
  </si>
  <si>
    <t>ADMINISTRATIVE SECTION - DO NOT ALTER</t>
  </si>
  <si>
    <t>SubSection</t>
  </si>
  <si>
    <t>Hidden</t>
  </si>
  <si>
    <t>Query Key</t>
  </si>
  <si>
    <t>Max Rows</t>
  </si>
  <si>
    <t>Ending Rows</t>
  </si>
  <si>
    <t>Total Columns</t>
  </si>
  <si>
    <t>Row</t>
  </si>
  <si>
    <t>Column</t>
  </si>
  <si>
    <t>Upstream/Downstream</t>
  </si>
  <si>
    <t>Discharge</t>
  </si>
  <si>
    <t>Weather</t>
  </si>
  <si>
    <t>Sample Type</t>
  </si>
  <si>
    <t>Program Type</t>
  </si>
  <si>
    <t>Amount of Suspended Solids</t>
  </si>
  <si>
    <t>ph&lt;2</t>
  </si>
  <si>
    <t>Prelogin #</t>
  </si>
  <si>
    <t>Collector 1</t>
  </si>
  <si>
    <t>Collector 2</t>
  </si>
  <si>
    <t>Collector 3</t>
  </si>
  <si>
    <t>HydroLab ID</t>
  </si>
  <si>
    <t>Grab Bucket ID</t>
  </si>
  <si>
    <t>A/S Bucket ID</t>
  </si>
  <si>
    <t>Nisken ID</t>
  </si>
  <si>
    <t>DI Water ID</t>
  </si>
  <si>
    <t>Visible</t>
  </si>
  <si>
    <t>Field Sample ID</t>
  </si>
  <si>
    <t>Project</t>
  </si>
  <si>
    <t>Location</t>
  </si>
  <si>
    <t>Sampling Method</t>
  </si>
  <si>
    <t>Reserved For Future</t>
  </si>
  <si>
    <t>C/S Analyte</t>
  </si>
  <si>
    <t>Start Cells</t>
  </si>
  <si>
    <t>End Cells</t>
  </si>
  <si>
    <t>PROFILE</t>
  </si>
  <si>
    <t>Sample ADD Staging Area</t>
  </si>
  <si>
    <t>Client/Project</t>
  </si>
  <si>
    <t>Future Use 1</t>
  </si>
  <si>
    <t>Future Use 2</t>
  </si>
  <si>
    <t>SAMPLE_SCH_SEQ</t>
  </si>
  <si>
    <t>ICV</t>
  </si>
  <si>
    <t>CCV</t>
  </si>
  <si>
    <t>Prelogin WorkID Data</t>
  </si>
  <si>
    <t>Distinct Acodes</t>
  </si>
  <si>
    <t>LOCATION_SEQ</t>
  </si>
  <si>
    <t># of Samples</t>
  </si>
  <si>
    <t>Initial Volume</t>
  </si>
  <si>
    <t>Sample Triggers</t>
  </si>
  <si>
    <t>Bottle Size 1 (mL)</t>
  </si>
  <si>
    <t>Bottle Size 2 (mL)</t>
  </si>
  <si>
    <t>Bottle Size 3 (mL)</t>
  </si>
  <si>
    <t>Bottle Size 4 (mL)</t>
  </si>
  <si>
    <t>Target Volume (mL)</t>
  </si>
  <si>
    <t>Initial Volume (mL)</t>
  </si>
  <si>
    <t>Final Calibration Volume (mL)</t>
  </si>
  <si>
    <t>pH (pH Units)</t>
  </si>
  <si>
    <t>Conductivity (uS/cm)</t>
  </si>
  <si>
    <t>Temperature ( 'C)</t>
  </si>
  <si>
    <t>Salinity (ppt)</t>
  </si>
  <si>
    <t>Redox Potential (mV)</t>
  </si>
  <si>
    <t>Confirmed Triggers</t>
  </si>
  <si>
    <t>Error Triggers</t>
  </si>
  <si>
    <t>Trigger Counts Reset?</t>
  </si>
  <si>
    <t>pH</t>
  </si>
  <si>
    <t>Specific Conductance</t>
  </si>
  <si>
    <t>Temperature</t>
  </si>
  <si>
    <t>Date/Time Analyzed</t>
  </si>
  <si>
    <t>LOV - Acodes</t>
  </si>
  <si>
    <t>LOV - pH?</t>
  </si>
  <si>
    <t>LOV - Sample Statuses</t>
  </si>
  <si>
    <t>LOV - Control Statuses</t>
  </si>
  <si>
    <t>Acode</t>
  </si>
  <si>
    <t>Y</t>
  </si>
  <si>
    <t>CmpList</t>
  </si>
  <si>
    <t>Cal Locations</t>
  </si>
  <si>
    <t>WET</t>
  </si>
  <si>
    <t>ACF</t>
  </si>
  <si>
    <t>ACT</t>
  </si>
  <si>
    <t>ADF</t>
  </si>
  <si>
    <t>ADT</t>
  </si>
  <si>
    <t>BLK</t>
  </si>
  <si>
    <t>CIC</t>
  </si>
  <si>
    <t>CXC</t>
  </si>
  <si>
    <t>0</t>
  </si>
  <si>
    <t>1</t>
  </si>
  <si>
    <t>2</t>
  </si>
  <si>
    <t>3</t>
  </si>
  <si>
    <t>4</t>
  </si>
  <si>
    <t>5</t>
  </si>
  <si>
    <t>6</t>
  </si>
  <si>
    <t>BAL</t>
  </si>
  <si>
    <t>BAN</t>
  </si>
  <si>
    <t>BFE</t>
  </si>
  <si>
    <t>BFI</t>
  </si>
  <si>
    <t>BPL</t>
  </si>
  <si>
    <t>GW</t>
  </si>
  <si>
    <t>PW</t>
  </si>
  <si>
    <t>RA</t>
  </si>
  <si>
    <t>SA</t>
  </si>
  <si>
    <t>SE</t>
  </si>
  <si>
    <t>SO</t>
  </si>
  <si>
    <t>SW</t>
  </si>
  <si>
    <t>Distinct Field Tests</t>
  </si>
  <si>
    <t>Field Parameter</t>
  </si>
  <si>
    <t>Row Number</t>
  </si>
  <si>
    <t>Lab Test</t>
  </si>
  <si>
    <t>B</t>
  </si>
  <si>
    <t>E</t>
  </si>
  <si>
    <t>F</t>
  </si>
  <si>
    <t>J</t>
  </si>
  <si>
    <t>K</t>
  </si>
  <si>
    <t>M</t>
  </si>
  <si>
    <t>Q</t>
  </si>
  <si>
    <t>LocationSeq</t>
  </si>
  <si>
    <t>Profile</t>
  </si>
  <si>
    <t>ProfileSeq</t>
  </si>
  <si>
    <t>CustID</t>
  </si>
  <si>
    <t>V</t>
  </si>
  <si>
    <t>X</t>
  </si>
  <si>
    <t>Z</t>
  </si>
  <si>
    <t>AA</t>
  </si>
  <si>
    <t>AB</t>
  </si>
  <si>
    <t>AC</t>
  </si>
  <si>
    <t>Profile/Client</t>
  </si>
  <si>
    <t>AD</t>
  </si>
  <si>
    <t>Max Rows Register</t>
  </si>
  <si>
    <t>Locations</t>
  </si>
  <si>
    <t>Clients</t>
  </si>
  <si>
    <t>Sampling Methods</t>
  </si>
  <si>
    <t>Field Tests</t>
  </si>
  <si>
    <t>Lab Acodes</t>
  </si>
  <si>
    <t>Code</t>
  </si>
  <si>
    <t>Name</t>
  </si>
  <si>
    <t>Program  B</t>
  </si>
  <si>
    <t>Program  D</t>
  </si>
  <si>
    <t>Program  I</t>
  </si>
  <si>
    <t>Program  J</t>
  </si>
  <si>
    <t>Program  P</t>
  </si>
  <si>
    <t>Program  S</t>
  </si>
  <si>
    <t>FD</t>
  </si>
  <si>
    <t>FKPB</t>
  </si>
  <si>
    <t>FS</t>
  </si>
  <si>
    <t>TB</t>
  </si>
  <si>
    <t>RS</t>
  </si>
  <si>
    <t>SS</t>
  </si>
  <si>
    <t>LINE_ITEM</t>
  </si>
  <si>
    <t>AE</t>
  </si>
  <si>
    <t>AF</t>
  </si>
  <si>
    <t>AG</t>
  </si>
  <si>
    <t>AH</t>
  </si>
  <si>
    <t>AI</t>
  </si>
  <si>
    <t>AJ</t>
  </si>
  <si>
    <t>AK</t>
  </si>
  <si>
    <t>Line Items</t>
  </si>
  <si>
    <t>Line Item</t>
  </si>
  <si>
    <t>Matrix</t>
  </si>
  <si>
    <t>TurnCode</t>
  </si>
  <si>
    <t>SampleType</t>
  </si>
  <si>
    <t>AL</t>
  </si>
  <si>
    <t>Description</t>
  </si>
  <si>
    <t>Profile Desc</t>
  </si>
  <si>
    <t>AM</t>
  </si>
  <si>
    <t>AN</t>
  </si>
  <si>
    <t>PROJECT_TYPE</t>
  </si>
  <si>
    <t>ProjectType</t>
  </si>
  <si>
    <t>SUBMITTER_SEQ</t>
  </si>
  <si>
    <t>Initials</t>
  </si>
  <si>
    <t>Collectors</t>
  </si>
  <si>
    <t>TC</t>
  </si>
  <si>
    <t>DMS</t>
  </si>
  <si>
    <t>Addr Seq</t>
  </si>
  <si>
    <t>Cust ID</t>
  </si>
  <si>
    <t>Current Work ID</t>
  </si>
  <si>
    <t>Comment Level</t>
  </si>
  <si>
    <t>Alternate Value</t>
  </si>
  <si>
    <t>Data Type</t>
  </si>
  <si>
    <t>SET Type</t>
  </si>
  <si>
    <t>WHERE Type</t>
  </si>
  <si>
    <t>Field Queue</t>
  </si>
  <si>
    <t>Field QC Rule</t>
  </si>
  <si>
    <t>New BatchNumber</t>
  </si>
  <si>
    <t>New HBN</t>
  </si>
  <si>
    <t>C_TRUE_VALUE</t>
  </si>
  <si>
    <t>C_PH</t>
  </si>
  <si>
    <t>FLDCTRL</t>
  </si>
  <si>
    <t>LAB_SAMPLE_ID</t>
  </si>
  <si>
    <t>OCS</t>
  </si>
  <si>
    <t>CCS</t>
  </si>
  <si>
    <t>Event Data</t>
  </si>
  <si>
    <t>SM 10200H, Chlorophyll A</t>
  </si>
  <si>
    <t>SM 3120 B, Potassium</t>
  </si>
  <si>
    <t>SM 3120 B, Magnesium</t>
  </si>
  <si>
    <t>SAMTYP</t>
  </si>
  <si>
    <t>Step 1 - Add NEW</t>
  </si>
  <si>
    <t>Step 2 - Update PreLogin</t>
  </si>
  <si>
    <t>Step 3 - PreAccession</t>
  </si>
  <si>
    <t>Step 4 - AutoReceive</t>
  </si>
  <si>
    <t>Step 5 - New Batch</t>
  </si>
  <si>
    <t>TEST_SEQ(s)</t>
  </si>
  <si>
    <t>Step 7 - Execute AutoPost</t>
  </si>
  <si>
    <t>Step 6 - Load AutoPost</t>
  </si>
  <si>
    <t>Success</t>
  </si>
  <si>
    <t>Delivery Process Statuses</t>
  </si>
  <si>
    <t>P/F</t>
  </si>
  <si>
    <t>Acceptance Criteria:</t>
  </si>
  <si>
    <t>+/- 5 Percent</t>
  </si>
  <si>
    <t>HydroLab Communications</t>
  </si>
  <si>
    <t>Conductivity</t>
  </si>
  <si>
    <t>Prod</t>
  </si>
  <si>
    <t>QC-PH</t>
  </si>
  <si>
    <t>QC-COND</t>
  </si>
  <si>
    <t>QC-DO</t>
  </si>
  <si>
    <t>QC-PH,QC-COND,QC-DO</t>
  </si>
  <si>
    <t>MA</t>
  </si>
  <si>
    <t>Tray:</t>
  </si>
  <si>
    <t>Other:</t>
  </si>
  <si>
    <t>Syringe/Filter:</t>
  </si>
  <si>
    <t>Tray ID</t>
  </si>
  <si>
    <t>H2SO4 VOL1 S/B</t>
  </si>
  <si>
    <t>H2SO4 VOL2 S/B</t>
  </si>
  <si>
    <t>H2SO4 VOL3 S/B</t>
  </si>
  <si>
    <t>HNO3 VOL1 S/B</t>
  </si>
  <si>
    <t>HNO3 VOL2 S/B</t>
  </si>
  <si>
    <t>Acodes:</t>
  </si>
  <si>
    <t>EB</t>
  </si>
  <si>
    <t>FB</t>
  </si>
  <si>
    <t>BS</t>
  </si>
  <si>
    <t xml:space="preserve">Strayer, Karl </t>
  </si>
  <si>
    <t>KS</t>
  </si>
  <si>
    <t>MT</t>
  </si>
  <si>
    <t>CLW</t>
  </si>
  <si>
    <t>BHW</t>
  </si>
  <si>
    <t>ESW</t>
  </si>
  <si>
    <t xml:space="preserve">Wenkert, Lori </t>
  </si>
  <si>
    <t>LW</t>
  </si>
  <si>
    <t>MFZ</t>
  </si>
  <si>
    <t>PAZ</t>
  </si>
  <si>
    <t>00400</t>
  </si>
  <si>
    <t>00299</t>
  </si>
  <si>
    <t>00094</t>
  </si>
  <si>
    <t>00010</t>
  </si>
  <si>
    <t>00480</t>
  </si>
  <si>
    <t>00090</t>
  </si>
  <si>
    <t>AUTO SAMP</t>
  </si>
  <si>
    <t>CNTRL</t>
  </si>
  <si>
    <t>DBHYDRO Matrix</t>
  </si>
  <si>
    <t>Protection</t>
  </si>
  <si>
    <t>HydroLab IDs</t>
  </si>
  <si>
    <t>ID</t>
  </si>
  <si>
    <t>INST</t>
  </si>
  <si>
    <t>F_TEMP</t>
  </si>
  <si>
    <t>F_SALINITY</t>
  </si>
  <si>
    <t>F_REDOX</t>
  </si>
  <si>
    <t>NO BOTTLE</t>
  </si>
  <si>
    <t>NO BOTTLE CODE</t>
  </si>
  <si>
    <t>NOB</t>
  </si>
  <si>
    <t>NV,L,M,H</t>
  </si>
  <si>
    <t>At Least 1 Field Parm</t>
  </si>
  <si>
    <t>RPM</t>
  </si>
  <si>
    <t>CM</t>
  </si>
  <si>
    <t>FN</t>
  </si>
  <si>
    <t>CCV Location</t>
  </si>
  <si>
    <t>CCV Solution Set ID:</t>
  </si>
  <si>
    <t>CCV Sol Set ID</t>
  </si>
  <si>
    <t>FTD</t>
  </si>
  <si>
    <t>KB</t>
  </si>
  <si>
    <t xml:space="preserve">East, Therese </t>
  </si>
  <si>
    <t>TE</t>
  </si>
  <si>
    <t>SM 2120 B, Color</t>
  </si>
  <si>
    <t>FPH</t>
  </si>
  <si>
    <t>FDO</t>
  </si>
  <si>
    <t>FCOND</t>
  </si>
  <si>
    <t>FTEMP</t>
  </si>
  <si>
    <t>FSALINITY</t>
  </si>
  <si>
    <t>FREDOX</t>
  </si>
  <si>
    <t>Acode Sort Item</t>
  </si>
  <si>
    <t>EPA 310.1, Alkalinity</t>
  </si>
  <si>
    <t>Container</t>
  </si>
  <si>
    <t>Preservative</t>
  </si>
  <si>
    <t>COC Enabled</t>
  </si>
  <si>
    <t>Current SamType</t>
  </si>
  <si>
    <t>Current Column</t>
  </si>
  <si>
    <t>HydroLab Data Acquisition</t>
  </si>
  <si>
    <t>Step 8 - Confirm AutoPost</t>
  </si>
  <si>
    <t>Step 9 - Post Footnotes</t>
  </si>
  <si>
    <t>Section 1</t>
  </si>
  <si>
    <t>Section 2</t>
  </si>
  <si>
    <t>Section 3</t>
  </si>
  <si>
    <t>Section 4</t>
  </si>
  <si>
    <t>Section 5</t>
  </si>
  <si>
    <t>Section 6</t>
  </si>
  <si>
    <t>Opening QC Type &amp; Default HSN</t>
  </si>
  <si>
    <t>Closing QC Type &amp; Default HSN</t>
  </si>
  <si>
    <t>Pause</t>
  </si>
  <si>
    <t>South Florida Water Management District, DHRS Certification E46077</t>
  </si>
  <si>
    <t>Prelogin Summary Report</t>
  </si>
  <si>
    <t>Prelogin Number:</t>
  </si>
  <si>
    <t>Collector 1:</t>
  </si>
  <si>
    <t>Collector 2:</t>
  </si>
  <si>
    <t>Collector 3:</t>
  </si>
  <si>
    <t>Sample ID</t>
  </si>
  <si>
    <t>Col. Date        Time</t>
  </si>
  <si>
    <t>Station</t>
  </si>
  <si>
    <t>UD</t>
  </si>
  <si>
    <t>DS</t>
  </si>
  <si>
    <t>WE</t>
  </si>
  <si>
    <t>Prog</t>
  </si>
  <si>
    <t>Meth</t>
  </si>
  <si>
    <t>Mat</t>
  </si>
  <si>
    <t>Depth</t>
  </si>
  <si>
    <t>Tdepth</t>
  </si>
  <si>
    <t>SDD</t>
  </si>
  <si>
    <t># Bottles</t>
  </si>
  <si>
    <t>Comments:</t>
  </si>
  <si>
    <t>CCV Location:</t>
  </si>
  <si>
    <t>MaxChars</t>
  </si>
  <si>
    <t>Pre-Login#:</t>
  </si>
  <si>
    <t>Collector1:</t>
  </si>
  <si>
    <t>Collector2:</t>
  </si>
  <si>
    <t>Collector3:</t>
  </si>
  <si>
    <t>Grab Bucket:</t>
  </si>
  <si>
    <t>A/S Bucket:</t>
  </si>
  <si>
    <t>Niskin:</t>
  </si>
  <si>
    <t>D.I. Water:</t>
  </si>
  <si>
    <t>ACID</t>
  </si>
  <si>
    <t>Bt. Size</t>
  </si>
  <si>
    <t>General Information</t>
  </si>
  <si>
    <t>A/S Trigger Data</t>
  </si>
  <si>
    <t xml:space="preserve">Sample # </t>
  </si>
  <si>
    <t>Time</t>
  </si>
  <si>
    <t>Station Name</t>
  </si>
  <si>
    <t>Collection method</t>
  </si>
  <si>
    <t>Amount of Suspended Solids (NV, L, M, H)</t>
  </si>
  <si>
    <t>pH&lt;2? (Y/N)</t>
  </si>
  <si>
    <t>Pulse Settings/ Collection Frequency</t>
  </si>
  <si>
    <t>Target Volume</t>
  </si>
  <si>
    <t>Final Calibrated Volume</t>
  </si>
  <si>
    <t>Samples</t>
  </si>
  <si>
    <t>Confirmed</t>
  </si>
  <si>
    <t>Errors</t>
  </si>
  <si>
    <t>Counts Reset ? (Y/N)</t>
  </si>
  <si>
    <t>Calibration</t>
  </si>
  <si>
    <t>A/S Information</t>
  </si>
  <si>
    <t>EQUIPMENT</t>
  </si>
  <si>
    <t>Max Chars</t>
  </si>
  <si>
    <t>Instrument ID#:</t>
  </si>
  <si>
    <t>Tvalue</t>
  </si>
  <si>
    <t>Date Type:</t>
  </si>
  <si>
    <t>QC Targets:</t>
  </si>
  <si>
    <t>Prod Targets:</t>
  </si>
  <si>
    <t>Upper</t>
  </si>
  <si>
    <t>Lower</t>
  </si>
  <si>
    <t>Major Units</t>
  </si>
  <si>
    <t>Temp</t>
  </si>
  <si>
    <t>Ph</t>
  </si>
  <si>
    <t>Cond</t>
  </si>
  <si>
    <t>C_COND</t>
  </si>
  <si>
    <t>C_DO</t>
  </si>
  <si>
    <t>C_TEMP</t>
  </si>
  <si>
    <t>PROFILES</t>
  </si>
  <si>
    <t>PERCENT</t>
  </si>
  <si>
    <t>Calc Code</t>
  </si>
  <si>
    <t>Measure</t>
  </si>
  <si>
    <r>
      <t xml:space="preserve">Pre-Calibrated Reading </t>
    </r>
    <r>
      <rPr>
        <sz val="8"/>
        <color indexed="12"/>
        <rFont val="Arial"/>
        <family val="2"/>
      </rPr>
      <t>(for IC's only)</t>
    </r>
  </si>
  <si>
    <t>AS TRIGGER DATE</t>
  </si>
  <si>
    <t>Dissolved Oxygen (mg/L)</t>
  </si>
  <si>
    <t>Temperature (C)</t>
  </si>
  <si>
    <t>Salinity    (ppt)</t>
  </si>
  <si>
    <t>Diagnostics File Location</t>
  </si>
  <si>
    <t>c:\temp</t>
  </si>
  <si>
    <t>Timer Value</t>
  </si>
  <si>
    <t>Lower True Value</t>
  </si>
  <si>
    <t>Upper True Value</t>
  </si>
  <si>
    <t>F_PH</t>
  </si>
  <si>
    <t>F_DO</t>
  </si>
  <si>
    <t>F_COND</t>
  </si>
  <si>
    <t>CCS Boss</t>
  </si>
  <si>
    <t>Control &amp; Field Test Acceptance Criteria</t>
  </si>
  <si>
    <t>Sequencer</t>
  </si>
  <si>
    <t>Col ID from Main</t>
  </si>
  <si>
    <t>SamType</t>
  </si>
  <si>
    <t>+/-  0.3 Units</t>
  </si>
  <si>
    <t>+/- 0.2 Units</t>
  </si>
  <si>
    <t>CALENDAR</t>
  </si>
  <si>
    <t>=R652C9</t>
  </si>
  <si>
    <t>=R652C7</t>
  </si>
  <si>
    <t>=R652C11</t>
  </si>
  <si>
    <t>=R652C20</t>
  </si>
  <si>
    <t>=R673C2</t>
  </si>
  <si>
    <t>=R652C13</t>
  </si>
  <si>
    <t>=R652C15</t>
  </si>
  <si>
    <t>#0&gt;&lt;10000</t>
  </si>
  <si>
    <r>
      <t>Collection Date/Time</t>
    </r>
    <r>
      <rPr>
        <sz val="8"/>
        <color indexed="12"/>
        <rFont val="Arial"/>
        <family val="2"/>
      </rPr>
      <t xml:space="preserve"> (w/Calendar)</t>
    </r>
  </si>
  <si>
    <r>
      <t xml:space="preserve">Date/Time Analyzed </t>
    </r>
    <r>
      <rPr>
        <sz val="8"/>
        <color indexed="12"/>
        <rFont val="Arial"/>
        <family val="2"/>
      </rPr>
      <t>(w/Calendar)</t>
    </r>
  </si>
  <si>
    <t>Date/Time Analyzed (w/Calendar)</t>
  </si>
  <si>
    <t>Local Change</t>
  </si>
  <si>
    <t>COLLECT DATE</t>
  </si>
  <si>
    <t>None</t>
  </si>
  <si>
    <t>SMB</t>
  </si>
  <si>
    <t>GMD</t>
  </si>
  <si>
    <t>DD</t>
  </si>
  <si>
    <t>EW</t>
  </si>
  <si>
    <t>Precalibrated Reading (for IC's only)</t>
  </si>
  <si>
    <t>BTG</t>
  </si>
  <si>
    <t>DG</t>
  </si>
  <si>
    <t>CCG</t>
  </si>
  <si>
    <t>DLH</t>
  </si>
  <si>
    <t>CH</t>
  </si>
  <si>
    <t>JSS</t>
  </si>
  <si>
    <t>KH</t>
  </si>
  <si>
    <t>MEK</t>
  </si>
  <si>
    <t>JK</t>
  </si>
  <si>
    <t xml:space="preserve">Krupa, Steve </t>
  </si>
  <si>
    <t>SKP</t>
  </si>
  <si>
    <t>LP</t>
  </si>
  <si>
    <t>RL</t>
  </si>
  <si>
    <t xml:space="preserve">Laing, Jim </t>
  </si>
  <si>
    <t>JL</t>
  </si>
  <si>
    <t xml:space="preserve">Manna, Michael </t>
  </si>
  <si>
    <t>MM3</t>
  </si>
  <si>
    <t>MM</t>
  </si>
  <si>
    <t>Moorman, John R</t>
  </si>
  <si>
    <t>JRM</t>
  </si>
  <si>
    <t>KM</t>
  </si>
  <si>
    <t>SN</t>
  </si>
  <si>
    <t xml:space="preserve">Nicholas, Kevin </t>
  </si>
  <si>
    <t>KN</t>
  </si>
  <si>
    <t>KRO</t>
  </si>
  <si>
    <t>AP</t>
  </si>
  <si>
    <t xml:space="preserve">Pietro, Kathy </t>
  </si>
  <si>
    <t>KP</t>
  </si>
  <si>
    <t>GR</t>
  </si>
  <si>
    <t>ER</t>
  </si>
  <si>
    <t>DER</t>
  </si>
  <si>
    <t>CC</t>
  </si>
  <si>
    <r>
      <t xml:space="preserve">First Trigger Date/Time </t>
    </r>
    <r>
      <rPr>
        <sz val="8"/>
        <color indexed="12"/>
        <rFont val="Arial"/>
        <family val="2"/>
      </rPr>
      <t>(w/calendar)</t>
    </r>
  </si>
  <si>
    <t>HS</t>
  </si>
  <si>
    <t>CS</t>
  </si>
  <si>
    <t>RVS</t>
  </si>
  <si>
    <t>Sanchez, Marvin J</t>
  </si>
  <si>
    <t>MJS</t>
  </si>
  <si>
    <t>HNO3 VOL3 S/B</t>
  </si>
  <si>
    <t>HNO3 VOL4 S/B</t>
  </si>
  <si>
    <t>Syringe/Filter Y/N</t>
  </si>
  <si>
    <t>H2SO4 Lot #</t>
  </si>
  <si>
    <t>HNO3 Lot #</t>
  </si>
  <si>
    <t>JJ</t>
  </si>
  <si>
    <t>ST</t>
  </si>
  <si>
    <t>PROD</t>
  </si>
  <si>
    <t>Upstairs</t>
  </si>
  <si>
    <t>Downstairs</t>
  </si>
  <si>
    <t>Lab Receiving</t>
  </si>
  <si>
    <t>NA</t>
  </si>
  <si>
    <t>S</t>
  </si>
  <si>
    <t>G</t>
  </si>
  <si>
    <t>Current Time</t>
  </si>
  <si>
    <t>T</t>
  </si>
  <si>
    <t>Struve, David M</t>
  </si>
  <si>
    <t>Col</t>
  </si>
  <si>
    <t>SAMPLE_SCHEDULES</t>
  </si>
  <si>
    <t>UPDN</t>
  </si>
  <si>
    <t>WTHR</t>
  </si>
  <si>
    <t>PROG</t>
  </si>
  <si>
    <t>DISC</t>
  </si>
  <si>
    <t>W</t>
  </si>
  <si>
    <t>H</t>
  </si>
  <si>
    <t>MATX</t>
  </si>
  <si>
    <t>DPTH</t>
  </si>
  <si>
    <t>TDPT</t>
  </si>
  <si>
    <t>ACTUAL_COLLECT_DATE</t>
  </si>
  <si>
    <t>R</t>
  </si>
  <si>
    <t>SDPT</t>
  </si>
  <si>
    <t>SUSP</t>
  </si>
  <si>
    <t>PH&lt;2</t>
  </si>
  <si>
    <t>SAMPLE_TYPE</t>
  </si>
  <si>
    <t>CLL2</t>
  </si>
  <si>
    <t>CLL3</t>
  </si>
  <si>
    <t>Up/Down Stream</t>
  </si>
  <si>
    <t>Weather Codes</t>
  </si>
  <si>
    <t>HydroLab Matrix</t>
  </si>
  <si>
    <t>Locations of LOV for Auxiliary Data</t>
  </si>
  <si>
    <t>Format</t>
  </si>
  <si>
    <t>COLL</t>
  </si>
  <si>
    <t>C</t>
  </si>
  <si>
    <t>User Value</t>
  </si>
  <si>
    <t>Horizon Value</t>
  </si>
  <si>
    <t>CXI</t>
  </si>
  <si>
    <t>DRY</t>
  </si>
  <si>
    <t>ELC</t>
  </si>
  <si>
    <t>FP</t>
  </si>
  <si>
    <t>GB</t>
  </si>
  <si>
    <t>GP</t>
  </si>
  <si>
    <t>HAL</t>
  </si>
  <si>
    <t>MAN</t>
  </si>
  <si>
    <t>NET</t>
  </si>
  <si>
    <t>TRP</t>
  </si>
  <si>
    <t>UNK</t>
  </si>
  <si>
    <t>Stored Credentials</t>
  </si>
  <si>
    <t>NO BOTTLE Controls</t>
  </si>
  <si>
    <t>Default</t>
  </si>
  <si>
    <t>Revert To</t>
  </si>
  <si>
    <t>Comment</t>
  </si>
  <si>
    <t>No Bottle</t>
  </si>
  <si>
    <t>Lower Limit</t>
  </si>
  <si>
    <t>Upper Limit</t>
  </si>
  <si>
    <t>TEMP</t>
  </si>
  <si>
    <t>TIMEONLY</t>
  </si>
  <si>
    <t>h-Hour(s)</t>
  </si>
  <si>
    <t>OPENING CONTROL (Backup)</t>
  </si>
  <si>
    <t>CLOSING CONTROL (Backup)</t>
  </si>
  <si>
    <t>Last Decision on Controls</t>
  </si>
  <si>
    <t>F_DATETIME</t>
  </si>
  <si>
    <t>P/F Eligible</t>
  </si>
  <si>
    <t>IC#1 (QC-COND)</t>
  </si>
  <si>
    <t>FAIL</t>
  </si>
  <si>
    <t>IC#2 (QC-COND)</t>
  </si>
  <si>
    <t>IC#1 (QC-PH)</t>
  </si>
  <si>
    <t>IC#2 (QC-PH)</t>
  </si>
  <si>
    <t>CCV#1 (QC-COND)</t>
  </si>
  <si>
    <t>CCV#2 (QC-COND)</t>
  </si>
  <si>
    <t>CCV#1 (QC-PH)</t>
  </si>
  <si>
    <t>CCV#2 (QC-PH)</t>
  </si>
  <si>
    <t>CCV#1 (QC-DO)</t>
  </si>
  <si>
    <t>BB</t>
  </si>
  <si>
    <t>WB</t>
  </si>
  <si>
    <t xml:space="preserve">Bolan, Ben </t>
  </si>
  <si>
    <t>MC</t>
  </si>
  <si>
    <t>Canty, Lisa M</t>
  </si>
  <si>
    <t>LMC</t>
  </si>
  <si>
    <t xml:space="preserve">Claude, Joseph </t>
  </si>
  <si>
    <t>Cline, Eric A</t>
  </si>
  <si>
    <t>EAC</t>
  </si>
  <si>
    <t xml:space="preserve">Collins, Brian </t>
  </si>
  <si>
    <t>BC</t>
  </si>
  <si>
    <t>Cook, Mark I</t>
  </si>
  <si>
    <t xml:space="preserve">Coronado-Molina, Carlos </t>
  </si>
  <si>
    <t>OD</t>
  </si>
  <si>
    <t>DelPizzo, Gina M.</t>
  </si>
  <si>
    <t>MD</t>
  </si>
  <si>
    <t xml:space="preserve">Fay, Jessica </t>
  </si>
  <si>
    <t>JF</t>
  </si>
  <si>
    <t xml:space="preserve">Ferree, Michelle </t>
  </si>
  <si>
    <t>MF</t>
  </si>
  <si>
    <t>EF</t>
  </si>
  <si>
    <t xml:space="preserve">Garrett, Brian </t>
  </si>
  <si>
    <t>BG</t>
  </si>
  <si>
    <t>Gentry, Brian T</t>
  </si>
  <si>
    <t>REG</t>
  </si>
  <si>
    <t>Gibson, Carl C</t>
  </si>
  <si>
    <t xml:space="preserve">Gierhart, Denise </t>
  </si>
  <si>
    <t>HOLY</t>
  </si>
  <si>
    <t xml:space="preserve">Hanes, Kim </t>
  </si>
  <si>
    <t>RH</t>
  </si>
  <si>
    <t>Hines, Donne L</t>
  </si>
  <si>
    <t>ISTO</t>
  </si>
  <si>
    <t>Jilek, Tonya L</t>
  </si>
  <si>
    <t>TLJ</t>
  </si>
  <si>
    <t xml:space="preserve">Kelly, Stephen </t>
  </si>
  <si>
    <t>SK</t>
  </si>
  <si>
    <t>Kozma, Marion E</t>
  </si>
  <si>
    <t>Larson, Kristin A</t>
  </si>
  <si>
    <t>KAL</t>
  </si>
  <si>
    <t>Matters, Daniel K</t>
  </si>
  <si>
    <t>DKM</t>
  </si>
  <si>
    <t>DM</t>
  </si>
  <si>
    <t>NSSTA</t>
  </si>
  <si>
    <t xml:space="preserve">Navarrete, Felipe </t>
  </si>
  <si>
    <t xml:space="preserve">Newman, Sue </t>
  </si>
  <si>
    <t>OLIT</t>
  </si>
  <si>
    <t>Ocampo, Maria T</t>
  </si>
  <si>
    <t>MTO</t>
  </si>
  <si>
    <t>Olsen, Kimberly R</t>
  </si>
  <si>
    <t>Trip Comments</t>
  </si>
  <si>
    <t>Other</t>
  </si>
  <si>
    <t>Trip Comments:</t>
  </si>
  <si>
    <t>Richard, Doug E</t>
  </si>
  <si>
    <t xml:space="preserve">Richardson, Emily </t>
  </si>
  <si>
    <t>ST1W</t>
  </si>
  <si>
    <t>ST34</t>
  </si>
  <si>
    <t>STA2</t>
  </si>
  <si>
    <t>STA5</t>
  </si>
  <si>
    <t>STA6</t>
  </si>
  <si>
    <t>Sobczak, Robert V</t>
  </si>
  <si>
    <t>Stabenau, Erik R</t>
  </si>
  <si>
    <t>ERS</t>
  </si>
  <si>
    <t xml:space="preserve">Stickler, Robert </t>
  </si>
  <si>
    <t>TMC</t>
  </si>
  <si>
    <t>Tate-Boldt, Erik K</t>
  </si>
  <si>
    <t xml:space="preserve">Tennis, Steven </t>
  </si>
  <si>
    <t xml:space="preserve">Tharin, Danielle </t>
  </si>
  <si>
    <t>DT</t>
  </si>
  <si>
    <t xml:space="preserve">Tompkins, Michael </t>
  </si>
  <si>
    <t xml:space="preserve">Troxler, Tiffany </t>
  </si>
  <si>
    <t>TT</t>
  </si>
  <si>
    <t xml:space="preserve">Villapando, Odi </t>
  </si>
  <si>
    <t>OV</t>
  </si>
  <si>
    <t>Walker, Christa L</t>
  </si>
  <si>
    <t>Weaver, Bruce C.</t>
  </si>
  <si>
    <t>BCW</t>
  </si>
  <si>
    <t>Welch, Barbara H</t>
  </si>
  <si>
    <t>Wollmar, Erik S</t>
  </si>
  <si>
    <t>Zamorano, Manuel Felipe</t>
  </si>
  <si>
    <t>Zuloaga, Patrick A</t>
  </si>
  <si>
    <t>#0&gt;&lt;14</t>
  </si>
  <si>
    <t>#0&gt;&lt;20</t>
  </si>
  <si>
    <t>#0&gt;&lt;70</t>
  </si>
  <si>
    <t>#-999&gt;&lt;999</t>
  </si>
  <si>
    <t>#0&gt;&lt;100000</t>
  </si>
  <si>
    <t>Filter mfg./Lot #</t>
  </si>
  <si>
    <t>Report Printed:</t>
  </si>
  <si>
    <t>80520064</t>
  </si>
  <si>
    <t xml:space="preserve">Nist RTD Platinum Thermometer </t>
  </si>
  <si>
    <t>80520074</t>
  </si>
  <si>
    <t>Nist RTD Platinum Thermometer</t>
  </si>
  <si>
    <t>98C069</t>
  </si>
  <si>
    <t>YSI 600 XLM S#98C0696 AB</t>
  </si>
  <si>
    <t>9999</t>
  </si>
  <si>
    <t>GENERIC,9999,GENERIC PROBE</t>
  </si>
  <si>
    <t>A0140A</t>
  </si>
  <si>
    <t>YSI 6920,00A0140AA,SFWMD</t>
  </si>
  <si>
    <t>A0976</t>
  </si>
  <si>
    <t>YSI 55 ,""ENTEL, INC YSI 55</t>
  </si>
  <si>
    <t>BEM254</t>
  </si>
  <si>
    <t>YSI 556,0360881,BEM SYSTEMS</t>
  </si>
  <si>
    <t>C0757A</t>
  </si>
  <si>
    <t>YSI 6920,00C0757A,SFWMD</t>
  </si>
  <si>
    <t>D1354A</t>
  </si>
  <si>
    <t>YSI 6920,01D1354AA,SFWMD</t>
  </si>
  <si>
    <t>D1391M</t>
  </si>
  <si>
    <t>YSI 650 MD,01D1391AM,BFA</t>
  </si>
  <si>
    <t>D47714</t>
  </si>
  <si>
    <t>YSI 6000 UPG,96D47714,SFWMD</t>
  </si>
  <si>
    <t>D49343</t>
  </si>
  <si>
    <t>YSI 600XL,96D49343,SFWMD</t>
  </si>
  <si>
    <t>DADE10</t>
  </si>
  <si>
    <t>DATA SONDE 3,23137,DERM</t>
  </si>
  <si>
    <t>DADE11</t>
  </si>
  <si>
    <t>MINI SONDE 4A,37835,DERM</t>
  </si>
  <si>
    <t>DADE13</t>
  </si>
  <si>
    <t>MINISONDE-4,33281</t>
  </si>
  <si>
    <t>DADE16</t>
  </si>
  <si>
    <t>MINISONDE 4A,40351,DERM</t>
  </si>
  <si>
    <t>DADE17</t>
  </si>
  <si>
    <t>MINISONDE 4A,40353,DERM #17</t>
  </si>
  <si>
    <t>Date</t>
  </si>
  <si>
    <t>Now()</t>
  </si>
  <si>
    <t>MB</t>
  </si>
  <si>
    <t xml:space="preserve">Burke, Patricia </t>
  </si>
  <si>
    <t>PB</t>
  </si>
  <si>
    <t>MIC</t>
  </si>
  <si>
    <t>Pulse Settings</t>
  </si>
  <si>
    <t>JC</t>
  </si>
  <si>
    <t>AS</t>
  </si>
  <si>
    <t>Auto-Sampler Comp Flow Prop</t>
  </si>
  <si>
    <t>Auto-Sampler Comp Time Prop</t>
  </si>
  <si>
    <t>Auto-Sampler Disc Flow Prop</t>
  </si>
  <si>
    <t>Auto-Sampler Disc Time Prop</t>
  </si>
  <si>
    <t>Bulk</t>
  </si>
  <si>
    <t>Composite Integrated Core</t>
  </si>
  <si>
    <t>Composite Cross Section Core</t>
  </si>
  <si>
    <t>Composite Cross Section Int.</t>
  </si>
  <si>
    <t>Electro Shock</t>
  </si>
  <si>
    <t>Field Parameters (no sample)</t>
  </si>
  <si>
    <t>Grab</t>
  </si>
  <si>
    <t>Grab Bailer</t>
  </si>
  <si>
    <t>Grab Pump</t>
  </si>
  <si>
    <t>Hook and Line</t>
  </si>
  <si>
    <t>Manual</t>
  </si>
  <si>
    <t>Seine or Dip Net</t>
  </si>
  <si>
    <t>Trap</t>
  </si>
  <si>
    <t>Unknown</t>
  </si>
  <si>
    <t>Wet</t>
  </si>
  <si>
    <t>0-Undefined</t>
  </si>
  <si>
    <t>1-Flow</t>
  </si>
  <si>
    <t>2-No Flow</t>
  </si>
  <si>
    <t>3-Reverse Flow</t>
  </si>
  <si>
    <t>1-Upstream</t>
  </si>
  <si>
    <t>2-Downstream</t>
  </si>
  <si>
    <t>0-Not Reported</t>
  </si>
  <si>
    <t>1-Clear Sky</t>
  </si>
  <si>
    <t>2-Slight Overcast</t>
  </si>
  <si>
    <t>3-Medium Overcast</t>
  </si>
  <si>
    <t>4-Very Overcast</t>
  </si>
  <si>
    <t>5-Drizzle</t>
  </si>
  <si>
    <t>6-Rain</t>
  </si>
  <si>
    <t>Algae</t>
  </si>
  <si>
    <t>Animal</t>
  </si>
  <si>
    <t>Feathers</t>
  </si>
  <si>
    <t>Fish</t>
  </si>
  <si>
    <t>Plant</t>
  </si>
  <si>
    <t>Ground Water</t>
  </si>
  <si>
    <t>Pore Water</t>
  </si>
  <si>
    <t>Rain</t>
  </si>
  <si>
    <t>Saline</t>
  </si>
  <si>
    <t>Sediment</t>
  </si>
  <si>
    <t>Soil</t>
  </si>
  <si>
    <t>Surface Water</t>
  </si>
  <si>
    <t>No</t>
  </si>
  <si>
    <t>Yes</t>
  </si>
  <si>
    <t>Program B</t>
  </si>
  <si>
    <t>Program D</t>
  </si>
  <si>
    <t>Program I</t>
  </si>
  <si>
    <t>Program J</t>
  </si>
  <si>
    <t>Program P</t>
  </si>
  <si>
    <t>Program S</t>
  </si>
  <si>
    <t>Regular Sample</t>
  </si>
  <si>
    <t>Field Blank</t>
  </si>
  <si>
    <t>Field Cleaned Equipment Blank</t>
  </si>
  <si>
    <t>Field Duplicate</t>
  </si>
  <si>
    <t>Field Kit Prep Blank</t>
  </si>
  <si>
    <t>Trip Blank</t>
  </si>
  <si>
    <t>Method Blank</t>
  </si>
  <si>
    <t>Replicate Sample</t>
  </si>
  <si>
    <t>Split Sample</t>
  </si>
  <si>
    <t>Equipment Blank</t>
  </si>
  <si>
    <t>NO HYDROLAB</t>
  </si>
  <si>
    <t>YSI 600XL-Model 600XL-B-O FIU</t>
  </si>
  <si>
    <t>0656AC</t>
  </si>
  <si>
    <t>YSI 556,JUPITER LABS</t>
  </si>
  <si>
    <t>101632</t>
  </si>
  <si>
    <t>YSI 6920-07G101632</t>
  </si>
  <si>
    <t>10514</t>
  </si>
  <si>
    <t>H20,DERM -DADE3</t>
  </si>
  <si>
    <t>1123AD</t>
  </si>
  <si>
    <t>YSI 556MPS,FWENC</t>
  </si>
  <si>
    <t>1123AF</t>
  </si>
  <si>
    <t>1123AG</t>
  </si>
  <si>
    <t>YSI 556MPS,03A1123AG,FWENC</t>
  </si>
  <si>
    <t>120045</t>
  </si>
  <si>
    <t>ORION MODEL 1230,99120045</t>
  </si>
  <si>
    <t>12833</t>
  </si>
  <si>
    <t>H20,DERM,DADE4</t>
  </si>
  <si>
    <t>12944</t>
  </si>
  <si>
    <t>SURVEYOR 3,DERM,DADE2</t>
  </si>
  <si>
    <t>1304AA</t>
  </si>
  <si>
    <t>YSI 556 MPS,03A1304AA,FWEC</t>
  </si>
  <si>
    <t>14324</t>
  </si>
  <si>
    <t>Start Date - 8/1/2005</t>
  </si>
  <si>
    <t>14324A</t>
  </si>
  <si>
    <t>M&amp;E YSI #2A,Start 08/16/05</t>
  </si>
  <si>
    <t>14324D</t>
  </si>
  <si>
    <t>M&amp;E YSI#1A,Start date-8/1/2005</t>
  </si>
  <si>
    <t>16973</t>
  </si>
  <si>
    <t>YSI 650-02MDS,TTFWI</t>
  </si>
  <si>
    <t>16973B</t>
  </si>
  <si>
    <t>YSI 650-02 MDS,TTFWI</t>
  </si>
  <si>
    <t>16973C</t>
  </si>
  <si>
    <t>17378A</t>
  </si>
  <si>
    <t>YSI 600 XLM-S,TTFWI</t>
  </si>
  <si>
    <t>17378B</t>
  </si>
  <si>
    <t>17378C</t>
  </si>
  <si>
    <t>17378D</t>
  </si>
  <si>
    <t>17378E</t>
  </si>
  <si>
    <t>17378F</t>
  </si>
  <si>
    <t>17476A</t>
  </si>
  <si>
    <t>17476B</t>
  </si>
  <si>
    <t>179475</t>
  </si>
  <si>
    <t>YSI Pocket Terminal (FIU)</t>
  </si>
  <si>
    <t>183995</t>
  </si>
  <si>
    <t>OAKTON 10,Earth Tech-Aug 2005</t>
  </si>
  <si>
    <t>18472</t>
  </si>
  <si>
    <t>HYDROLAB H2O OSC</t>
  </si>
  <si>
    <t>19028</t>
  </si>
  <si>
    <t>H20,DERM,DADE5</t>
  </si>
  <si>
    <t>190874</t>
  </si>
  <si>
    <t>OAKTON 310,August 2005</t>
  </si>
  <si>
    <t>YSI 600XL-B-O Palm Beach ERM</t>
  </si>
  <si>
    <t>1957AB</t>
  </si>
  <si>
    <t>198108</t>
  </si>
  <si>
    <t>OAKTON,NATIONAL PARK SERVICE</t>
  </si>
  <si>
    <t>19893</t>
  </si>
  <si>
    <t>DATASONDE3,ASSET # E26294</t>
  </si>
  <si>
    <t>1D1391</t>
  </si>
  <si>
    <t>YSI 650 MDS, 01D1391</t>
  </si>
  <si>
    <t>YSI 600</t>
  </si>
  <si>
    <t>1H1006</t>
  </si>
  <si>
    <t>YSI 656101H/01G0511,BROWARD</t>
  </si>
  <si>
    <t>210142</t>
  </si>
  <si>
    <t>OAKTON 300,Earth Tech-Aug 2005</t>
  </si>
  <si>
    <t>22447</t>
  </si>
  <si>
    <t>HYDROLAB H20G,MACTEC</t>
  </si>
  <si>
    <t>2247</t>
  </si>
  <si>
    <t>HYDROLAB QUANTA,ENP</t>
  </si>
  <si>
    <t>23137</t>
  </si>
  <si>
    <t>DATA SONDE 3,DERM - DADE10</t>
  </si>
  <si>
    <t>23139</t>
  </si>
  <si>
    <t>DATA SONDE 3,DERM - DADE8</t>
  </si>
  <si>
    <t>23615</t>
  </si>
  <si>
    <t>H20,DERM - DADE6</t>
  </si>
  <si>
    <t>23723</t>
  </si>
  <si>
    <t>SONDE 3, H-20</t>
  </si>
  <si>
    <t>23724</t>
  </si>
  <si>
    <t>HYDROLAB H2O,23724</t>
  </si>
  <si>
    <t>23725</t>
  </si>
  <si>
    <t>SONDE 4,23725 H-20</t>
  </si>
  <si>
    <t>24374</t>
  </si>
  <si>
    <t>DATA SONDE 3,DERM - DADE7</t>
  </si>
  <si>
    <t>24476</t>
  </si>
  <si>
    <t>DATA SONDE 3,DERM - DADE9</t>
  </si>
  <si>
    <t>2D1241</t>
  </si>
  <si>
    <t>YSI600QS,SFWMD,In-lake Group</t>
  </si>
  <si>
    <t>2K0010</t>
  </si>
  <si>
    <t>2L0060</t>
  </si>
  <si>
    <t>YSI 600QS,Polk County</t>
  </si>
  <si>
    <t>2L0274</t>
  </si>
  <si>
    <t>YSI 556,BEM/ JUPITER LABS</t>
  </si>
  <si>
    <t>30078</t>
  </si>
  <si>
    <t>HYDROLAB/ H20,ERD</t>
  </si>
  <si>
    <t>30589</t>
  </si>
  <si>
    <t>SURVEYOR 3,30589,BROWARD</t>
  </si>
  <si>
    <t>314128</t>
  </si>
  <si>
    <t>33207</t>
  </si>
  <si>
    <t>Hydrolab MiniSonde</t>
  </si>
  <si>
    <t>33208</t>
  </si>
  <si>
    <t>33209</t>
  </si>
  <si>
    <t>33210</t>
  </si>
  <si>
    <t>33211</t>
  </si>
  <si>
    <t>33213</t>
  </si>
  <si>
    <t>HYDROLAB MINISONDE 4,SFWMD</t>
  </si>
  <si>
    <t>33214</t>
  </si>
  <si>
    <t>33215</t>
  </si>
  <si>
    <t>MINISONDE 4,SFWMD,E31553</t>
  </si>
  <si>
    <t>33218</t>
  </si>
  <si>
    <t>33281</t>
  </si>
  <si>
    <t>DADE13,ASSET#597730</t>
  </si>
  <si>
    <t>33284</t>
  </si>
  <si>
    <t>MINISONDE,33284,SFWMD/USFWS</t>
  </si>
  <si>
    <t>33318</t>
  </si>
  <si>
    <t>DATASONDE 4,33318,BROWARD</t>
  </si>
  <si>
    <t>33392</t>
  </si>
  <si>
    <t>DATASONDE 4,33392,BROWARD</t>
  </si>
  <si>
    <t>336444</t>
  </si>
  <si>
    <t>HACH2100P,Earth Tech-Aug 2005</t>
  </si>
  <si>
    <t>33771</t>
  </si>
  <si>
    <t>MINISONDE 4,S1962,OCEP</t>
  </si>
  <si>
    <t>34419</t>
  </si>
  <si>
    <t>MINISONDE,34419,SFWMD</t>
  </si>
  <si>
    <t>35876</t>
  </si>
  <si>
    <t>MINISONDE 4A,35876</t>
  </si>
  <si>
    <t>36285</t>
  </si>
  <si>
    <t>DATASONDE 4A,36285</t>
  </si>
  <si>
    <t>36288</t>
  </si>
  <si>
    <t>DATA SONDE 4A,SFWMD</t>
  </si>
  <si>
    <t>36294</t>
  </si>
  <si>
    <t>DATASONDE 4A</t>
  </si>
  <si>
    <t>36296</t>
  </si>
  <si>
    <t>36296,DATASONDE 4A</t>
  </si>
  <si>
    <t>36297</t>
  </si>
  <si>
    <t>36297,DATASONDE 4A</t>
  </si>
  <si>
    <t>36299</t>
  </si>
  <si>
    <t>36299,DATASONDE 4A</t>
  </si>
  <si>
    <t>36300</t>
  </si>
  <si>
    <t>HYDROLAB MINISONDE 4A,SFWMD</t>
  </si>
  <si>
    <t>36535</t>
  </si>
  <si>
    <t>MINISONDE 4A,36535</t>
  </si>
  <si>
    <t>36990</t>
  </si>
  <si>
    <t>HYDROLAB DATASONDE 4A,FIU</t>
  </si>
  <si>
    <t>37180</t>
  </si>
  <si>
    <t>MINISONDE 4A</t>
  </si>
  <si>
    <t>37189</t>
  </si>
  <si>
    <t>37400</t>
  </si>
  <si>
    <t>37835</t>
  </si>
  <si>
    <t>MINISONDE 4A,DERM -DADE11</t>
  </si>
  <si>
    <t>37853</t>
  </si>
  <si>
    <t>MINISONDE 4A,DERM - DADE7A</t>
  </si>
  <si>
    <t>38405</t>
  </si>
  <si>
    <t>SURVEYOR 4,DADE12</t>
  </si>
  <si>
    <t>39025</t>
  </si>
  <si>
    <t>39026</t>
  </si>
  <si>
    <t>39318</t>
  </si>
  <si>
    <t>HYDROLAB MINISONDE 4A,OCEP</t>
  </si>
  <si>
    <t>3A0995</t>
  </si>
  <si>
    <t>YSI 5560, 03A0995,Tetra Tech</t>
  </si>
  <si>
    <t>3A1123</t>
  </si>
  <si>
    <t>YSI 556,03A1123,OCEP</t>
  </si>
  <si>
    <t>3A11AF</t>
  </si>
  <si>
    <t>YSI 556NPS,03A1123AF,Tetratech</t>
  </si>
  <si>
    <t>40351</t>
  </si>
  <si>
    <t>MINISONDE 4A,DADE #16</t>
  </si>
  <si>
    <t>405304</t>
  </si>
  <si>
    <t>QUANTA G,QORE PROPERTY SCIENCE</t>
  </si>
  <si>
    <t>405308</t>
  </si>
  <si>
    <t>40975</t>
  </si>
  <si>
    <t>HYDROLAB MINISONDE 4,MACTEC</t>
  </si>
  <si>
    <t>411942</t>
  </si>
  <si>
    <t>HT Mini SN:011509</t>
  </si>
  <si>
    <t>41239</t>
  </si>
  <si>
    <t>Minisonde4a,Big Cypress Pres</t>
  </si>
  <si>
    <t>41289</t>
  </si>
  <si>
    <t>HYDROLAB MINISONDE4A,SFWMD</t>
  </si>
  <si>
    <t>41796</t>
  </si>
  <si>
    <t>Hydrolab MiniSonde,E43132</t>
  </si>
  <si>
    <t>41801</t>
  </si>
  <si>
    <t>HYDROLAB Minisonde,E43137</t>
  </si>
  <si>
    <t>42793</t>
  </si>
  <si>
    <t>Hydrolab MS5</t>
  </si>
  <si>
    <t>44503</t>
  </si>
  <si>
    <t>HYDROLAB MS-5, MACTEC</t>
  </si>
  <si>
    <t>44508</t>
  </si>
  <si>
    <t>Hydrolab-MS5 SN-060800044444</t>
  </si>
  <si>
    <t>44509</t>
  </si>
  <si>
    <t>Hydrolab-MS5 SN-060800044445</t>
  </si>
  <si>
    <t>44510</t>
  </si>
  <si>
    <t>Hydrolab-MS5 SN-060800044475</t>
  </si>
  <si>
    <t>45979</t>
  </si>
  <si>
    <t>Hydrolab,MACTEC,071200045979</t>
  </si>
  <si>
    <t>4A0031</t>
  </si>
  <si>
    <t>YSI 556MPS,HI-TECH</t>
  </si>
  <si>
    <t>4E9448</t>
  </si>
  <si>
    <t>YSI 650MDS,BFA</t>
  </si>
  <si>
    <t>4E9487</t>
  </si>
  <si>
    <t>YSI 650 MDS,BFA</t>
  </si>
  <si>
    <t>52546</t>
  </si>
  <si>
    <t>HYDROLAB SURVEYOR 4A,OCEP</t>
  </si>
  <si>
    <t>527220</t>
  </si>
  <si>
    <t>YSI 600QS,02H0892AC,LEE-YSI#1</t>
  </si>
  <si>
    <t>527230</t>
  </si>
  <si>
    <t>YSI 600QS,02H0892AA,LEE-YSI#2</t>
  </si>
  <si>
    <t>527240</t>
  </si>
  <si>
    <t>YSI 600QS,02H0892AB,LEE-YSI#3</t>
  </si>
  <si>
    <t>52848</t>
  </si>
  <si>
    <t>HYDROLAB,ERD, This s/b S2848</t>
  </si>
  <si>
    <t>60799A</t>
  </si>
  <si>
    <t>6920,0260799AB</t>
  </si>
  <si>
    <t>6820</t>
  </si>
  <si>
    <t>YSI 06H2687AA ,Orange County</t>
  </si>
  <si>
    <t>6H2071</t>
  </si>
  <si>
    <t>YSI - 600XLM-O,SFWMD</t>
  </si>
  <si>
    <t>720965</t>
  </si>
  <si>
    <t>720965,YSI 556,03A1123,OCEP</t>
  </si>
  <si>
    <t>73778</t>
  </si>
  <si>
    <t>73778C</t>
  </si>
  <si>
    <t>DADE19</t>
  </si>
  <si>
    <t>DATA SONDE 3,23661,DERM</t>
  </si>
  <si>
    <t>DADE2</t>
  </si>
  <si>
    <t>H20 - DATA SONDE 3,12944,DERM</t>
  </si>
  <si>
    <t>DADE24</t>
  </si>
  <si>
    <t>SONDE3,19435,Start6/27/2005</t>
  </si>
  <si>
    <t>DADE3</t>
  </si>
  <si>
    <t>DADE3,H2O,10514,DERM</t>
  </si>
  <si>
    <t>DADE4</t>
  </si>
  <si>
    <t>DADE4,H2O,12833,DERM</t>
  </si>
  <si>
    <t>DADE5</t>
  </si>
  <si>
    <t>DADE5,H2O,19028,DERM</t>
  </si>
  <si>
    <t>DADE6</t>
  </si>
  <si>
    <t>H2O,23615,DERM</t>
  </si>
  <si>
    <t>DADE7</t>
  </si>
  <si>
    <t>DATA SONDE 3,24374,DERM</t>
  </si>
  <si>
    <t>DADE7A</t>
  </si>
  <si>
    <t>MINI SONDE 4A,37853,DERM</t>
  </si>
  <si>
    <t>DADE8</t>
  </si>
  <si>
    <t>DATA SONDE 3,23139,DERM</t>
  </si>
  <si>
    <t>DADE9</t>
  </si>
  <si>
    <t>DATA SONDE 3,24476,DERM</t>
  </si>
  <si>
    <t>DIS.O2</t>
  </si>
  <si>
    <t>YSI MODEL 59,,YSI Model 59</t>
  </si>
  <si>
    <t>DPEP-A</t>
  </si>
  <si>
    <t>600XL-B-S,03H1191AA,BROWARD</t>
  </si>
  <si>
    <t>DPEP-B</t>
  </si>
  <si>
    <t>600XL-B-S,03H1191AB,BROWARD</t>
  </si>
  <si>
    <t>DPEP-C</t>
  </si>
  <si>
    <t>600XL-B-O,04F11036AA,DPEP</t>
  </si>
  <si>
    <t>DPEP-D</t>
  </si>
  <si>
    <t>600XL-B-O,04F11036AB,DPEP</t>
  </si>
  <si>
    <t>DPEP1</t>
  </si>
  <si>
    <t>YSI 6600,01H1127AA,YSI#1,BROW</t>
  </si>
  <si>
    <t>DPEP2</t>
  </si>
  <si>
    <t>YSI 6600,01H1127AB,YSI #2 BROW</t>
  </si>
  <si>
    <t>DPEP3</t>
  </si>
  <si>
    <t>YSI 6600,01H1127AC,YSI#3 BROW</t>
  </si>
  <si>
    <t>DPEP4</t>
  </si>
  <si>
    <t>YSI 6600,01J0376AA,YSI#4 BROW</t>
  </si>
  <si>
    <t>DPEP5</t>
  </si>
  <si>
    <t>YSI 6600,01J0555AB,YSI#5 BROW</t>
  </si>
  <si>
    <t>DPEP6</t>
  </si>
  <si>
    <t>YSI 6600,01J0555AD,YSI#6 BROW</t>
  </si>
  <si>
    <t>E25900</t>
  </si>
  <si>
    <t>DATASONDE 3,19147,Big Cypress</t>
  </si>
  <si>
    <t>E25902</t>
  </si>
  <si>
    <t>DATASONDE 3,19137</t>
  </si>
  <si>
    <t>E25903</t>
  </si>
  <si>
    <t>HYDROLAB DATA-SONDE 3,19140</t>
  </si>
  <si>
    <t>E25904</t>
  </si>
  <si>
    <t>E25904,DATASONDE 3,19141</t>
  </si>
  <si>
    <t>E25905</t>
  </si>
  <si>
    <t>E25905,DATASONDE 3,19142</t>
  </si>
  <si>
    <t>E25907</t>
  </si>
  <si>
    <t>E25907,DATASONDE 3,19144</t>
  </si>
  <si>
    <t>E25908</t>
  </si>
  <si>
    <t>DATASONDE 3,19145,SFWMD</t>
  </si>
  <si>
    <t>E25910</t>
  </si>
  <si>
    <t>DATASONDE 3,19161</t>
  </si>
  <si>
    <t>E25913</t>
  </si>
  <si>
    <t>DATASONDE3,19423</t>
  </si>
  <si>
    <t>E25915</t>
  </si>
  <si>
    <t>DATASONDE 3,19425</t>
  </si>
  <si>
    <t>E25919</t>
  </si>
  <si>
    <t>DATASONDE 3,19429</t>
  </si>
  <si>
    <t>E25920</t>
  </si>
  <si>
    <t>HYDROLAB DATA-SONDE 3</t>
  </si>
  <si>
    <t>E25922</t>
  </si>
  <si>
    <t>DATASONDE 3,19432</t>
  </si>
  <si>
    <t>E25923</t>
  </si>
  <si>
    <t>DATASONDE 3,19433</t>
  </si>
  <si>
    <t>E25924</t>
  </si>
  <si>
    <t>DATASONDE 3,19434,SFWMD_ERG</t>
  </si>
  <si>
    <t>E25925</t>
  </si>
  <si>
    <t>DATASONDE 3,19435</t>
  </si>
  <si>
    <t>E25926</t>
  </si>
  <si>
    <t>DATASONDE 3,19436,Big Cypress</t>
  </si>
  <si>
    <t>E25928</t>
  </si>
  <si>
    <t>DATASONDE 3,19139</t>
  </si>
  <si>
    <t>E26293</t>
  </si>
  <si>
    <t>E26293,DATASONDE 3,19892</t>
  </si>
  <si>
    <t>E26294</t>
  </si>
  <si>
    <t>DATASONDE 3,19893,SFWMD</t>
  </si>
  <si>
    <t>E26295</t>
  </si>
  <si>
    <t>E26295,DATASONDE 3,19894</t>
  </si>
  <si>
    <t>E26296</t>
  </si>
  <si>
    <t>DATASONDE 3,19295,SFWMD-ERG</t>
  </si>
  <si>
    <t>E26298</t>
  </si>
  <si>
    <t>DATASONDE3,19897</t>
  </si>
  <si>
    <t>E28884</t>
  </si>
  <si>
    <t>YSI- 600XL-B-O,95J37546,SFWMD</t>
  </si>
  <si>
    <t>E30848</t>
  </si>
  <si>
    <t>YSI 600,96B46175,SFWMD/OKEE</t>
  </si>
  <si>
    <t>E30849</t>
  </si>
  <si>
    <t>YSI 600,96E50205</t>
  </si>
  <si>
    <t>E30851</t>
  </si>
  <si>
    <t>E30851,YSI 600,96E50206</t>
  </si>
  <si>
    <t>E30852</t>
  </si>
  <si>
    <t>YSI 600,96K0318AE,SFWMD/OKEE</t>
  </si>
  <si>
    <t>E30853</t>
  </si>
  <si>
    <t>YSI 600,96K0318AB,SFWMD/OKEE</t>
  </si>
  <si>
    <t>E31198</t>
  </si>
  <si>
    <t>YSI 600,96B46174,SFWMD/OKEE</t>
  </si>
  <si>
    <t>E31199</t>
  </si>
  <si>
    <t>YSI 600,96K0318AA,SFWMD/OKEE</t>
  </si>
  <si>
    <t>E31216</t>
  </si>
  <si>
    <t>E31216,YSI 600,96K0318AC</t>
  </si>
  <si>
    <t>E31217</t>
  </si>
  <si>
    <t>E31217,YSI 600,96K0318AD</t>
  </si>
  <si>
    <t>E31218</t>
  </si>
  <si>
    <t>E31218,YSI 600,96K0318AF</t>
  </si>
  <si>
    <t>E31540</t>
  </si>
  <si>
    <t>MINISONDE,33047,SFWMD</t>
  </si>
  <si>
    <t>E32086</t>
  </si>
  <si>
    <t>YSI 600 R,97K0833AB,SFWMD/OKEE</t>
  </si>
  <si>
    <t>E32087</t>
  </si>
  <si>
    <t>YSI 600,97K0833AC</t>
  </si>
  <si>
    <t>E32088</t>
  </si>
  <si>
    <t>YSI 600 R,97K0833AA,SFWMD/OKEE</t>
  </si>
  <si>
    <t>E32089</t>
  </si>
  <si>
    <t>YSI 600 R,97K0833AD,SFWMD/OKEE</t>
  </si>
  <si>
    <t>E32090</t>
  </si>
  <si>
    <t>YSI 600,97K0833AE</t>
  </si>
  <si>
    <t>E32091</t>
  </si>
  <si>
    <t>E32091,YSI 600,97K0933AF</t>
  </si>
  <si>
    <t>E32895</t>
  </si>
  <si>
    <t>MINISONDE,33981,SFWMD 6340</t>
  </si>
  <si>
    <t>E32938</t>
  </si>
  <si>
    <t>YSI 600 XLM S#98A0363 AA</t>
  </si>
  <si>
    <t>E33036</t>
  </si>
  <si>
    <t>YSI 6920,98D0953AB,SFWMD6340</t>
  </si>
  <si>
    <t>E33037</t>
  </si>
  <si>
    <t>YSI 6920,98D0779AA,SFWMD</t>
  </si>
  <si>
    <t>E33209</t>
  </si>
  <si>
    <t>MINISONDE,E33209,SFWMD</t>
  </si>
  <si>
    <t>E35269</t>
  </si>
  <si>
    <t>YSI 600XL,99B0478,SFWMD</t>
  </si>
  <si>
    <t>MINISONDE4A,36535</t>
  </si>
  <si>
    <t>E35638,MINISONDE4A,36536</t>
  </si>
  <si>
    <t>E35639,MINISONDE4A,36537</t>
  </si>
  <si>
    <t>E35640,DATASONDE 4A,36286</t>
  </si>
  <si>
    <t>E35641,DATASONDE 4A,36287</t>
  </si>
  <si>
    <t>E35642,MINISONDE4A,36288</t>
  </si>
  <si>
    <t>E35643</t>
  </si>
  <si>
    <t>E35643,DATASONDE 4A,36289</t>
  </si>
  <si>
    <t>E35644,DATASONDE 4A,36290</t>
  </si>
  <si>
    <t>E35645,DATASONDE 4A,36291</t>
  </si>
  <si>
    <t>E35646,DATASONDE 4A,36292</t>
  </si>
  <si>
    <t>E35647</t>
  </si>
  <si>
    <t>E35647,DATASONDE 4A,36293</t>
  </si>
  <si>
    <t>E35648</t>
  </si>
  <si>
    <t>HYDROLAB 4A,36295,SFWMD</t>
  </si>
  <si>
    <t>E35649</t>
  </si>
  <si>
    <t>DATASONDE 4A,36298</t>
  </si>
  <si>
    <t>HYDROLAB  4A,36300,SFWMD</t>
  </si>
  <si>
    <t>E36291</t>
  </si>
  <si>
    <t>MINISONDE 4A,37839</t>
  </si>
  <si>
    <t>MINISONDE 4,36811,SFWMD</t>
  </si>
  <si>
    <t>MINISONDE 4A,36812,SFWMD</t>
  </si>
  <si>
    <t>E36684</t>
  </si>
  <si>
    <t>MINISONDE 4A,36813,SFWMD</t>
  </si>
  <si>
    <t>E36685</t>
  </si>
  <si>
    <t>36814,SPECTRUM LAB, INC.</t>
  </si>
  <si>
    <t>014640-003,36815,SFWMD</t>
  </si>
  <si>
    <t>E36687</t>
  </si>
  <si>
    <t>MINISONDE 4A,36816, ESP</t>
  </si>
  <si>
    <t>E36750,MINISONDE4A,37400</t>
  </si>
  <si>
    <t>E36751</t>
  </si>
  <si>
    <t>E36751,MINISONDE4A,37401</t>
  </si>
  <si>
    <t>E36815</t>
  </si>
  <si>
    <t>MINISONDE 4A,36815,SFWMD</t>
  </si>
  <si>
    <t>E36921</t>
  </si>
  <si>
    <t>E36921,MINISONDE4A,37839</t>
  </si>
  <si>
    <t>E36922,MINISONDE4A,37840</t>
  </si>
  <si>
    <t>E36923,MINISONDE4A,37841</t>
  </si>
  <si>
    <t>E36924,MINISONDE4A,37842</t>
  </si>
  <si>
    <t>E36925</t>
  </si>
  <si>
    <t>E36925,MINISONDE4A,37843</t>
  </si>
  <si>
    <t>E37044</t>
  </si>
  <si>
    <t>MINISONDE 4A,1598,Powell</t>
  </si>
  <si>
    <t>E37045</t>
  </si>
  <si>
    <t>E37045,MINISONDE 4A,1599</t>
  </si>
  <si>
    <t>E37046</t>
  </si>
  <si>
    <t>E37046,MINISONDE 4A,1600</t>
  </si>
  <si>
    <t>E37047</t>
  </si>
  <si>
    <t>E37047,MINISONDE 4A,1601</t>
  </si>
  <si>
    <t>E37048</t>
  </si>
  <si>
    <t>E37048,MINISONDE 4A,1602</t>
  </si>
  <si>
    <t>E37049</t>
  </si>
  <si>
    <t>E37049,MINISONDE 4A,1620</t>
  </si>
  <si>
    <t>E37653</t>
  </si>
  <si>
    <t>YSI 6600,99K0332,SFWMD</t>
  </si>
  <si>
    <t>E37828</t>
  </si>
  <si>
    <t>MINISONDE4A,38580</t>
  </si>
  <si>
    <t>E37829</t>
  </si>
  <si>
    <t>MINISONDE 4A,38581</t>
  </si>
  <si>
    <t>E37830,MINISONDE 4A,38582</t>
  </si>
  <si>
    <t>E37831</t>
  </si>
  <si>
    <t>E37831,MINISONDE4A,38583</t>
  </si>
  <si>
    <t>E37832</t>
  </si>
  <si>
    <t>E37832,MINISONDE4A,38584</t>
  </si>
  <si>
    <t>E38583</t>
  </si>
  <si>
    <t>E39129</t>
  </si>
  <si>
    <t>E39129,YSI 600XL,95M43955</t>
  </si>
  <si>
    <t>E40196</t>
  </si>
  <si>
    <t>MINISONDE,40094,SFWMD-OKEE</t>
  </si>
  <si>
    <t>E40197</t>
  </si>
  <si>
    <t>MINISONDE,40095,SFWMD-OKEE</t>
  </si>
  <si>
    <t>MINISONDE,40096,SFWMD-OKEE</t>
  </si>
  <si>
    <t>E40199</t>
  </si>
  <si>
    <t>MINISONDE,40097,SFWMD-OKEE</t>
  </si>
  <si>
    <t>E40200</t>
  </si>
  <si>
    <t>MINISONDE,40098,SFWMD-OKEE</t>
  </si>
  <si>
    <t>E40268</t>
  </si>
  <si>
    <t>YSI,E40268,SFWMD</t>
  </si>
  <si>
    <t>E40269</t>
  </si>
  <si>
    <t>YSI 6920,02G0799AB,START6/1/05</t>
  </si>
  <si>
    <t>E40271</t>
  </si>
  <si>
    <t>YSI 6920,02G0799AA,START6/1/05</t>
  </si>
  <si>
    <t>E42946,600XLM,04B1219AA,SFWMD</t>
  </si>
  <si>
    <t>E42947,600XLM,04B1219AB,SFWMD</t>
  </si>
  <si>
    <t>YSI 600 XLM-S,04E9306AA,FOC</t>
  </si>
  <si>
    <t>YSI 600 FOC</t>
  </si>
  <si>
    <t>YSI 600 XLM-S,04E9306AC,FOC</t>
  </si>
  <si>
    <t>YSI 600 XLM-S,04E9306AD,FOC</t>
  </si>
  <si>
    <t>YSI 600 XLM-S,04E9306AE,FOC</t>
  </si>
  <si>
    <t>E43084</t>
  </si>
  <si>
    <t>YSI 600 XLM S#04G12530 AC</t>
  </si>
  <si>
    <t>E43085</t>
  </si>
  <si>
    <t>YSI 600 XLM S#04G12176 AD</t>
  </si>
  <si>
    <t>E43086</t>
  </si>
  <si>
    <t>YSI 600 XLM S#04G12176 AA</t>
  </si>
  <si>
    <t>E43087</t>
  </si>
  <si>
    <t>YSI 600 XLM S#04G12530 AE</t>
  </si>
  <si>
    <t>E43088</t>
  </si>
  <si>
    <t>YSI 600 XLM S#04F10258 AD</t>
  </si>
  <si>
    <t>E43089</t>
  </si>
  <si>
    <t>YSI 600 XLM S#04G12176 AC</t>
  </si>
  <si>
    <t>E43090</t>
  </si>
  <si>
    <t>YSI 600 XLM</t>
  </si>
  <si>
    <t>E43091</t>
  </si>
  <si>
    <t>YSI 600 XLM S#04G12176 AB</t>
  </si>
  <si>
    <t>E43092</t>
  </si>
  <si>
    <t>YSI 600 XLM S#04G12530 AB</t>
  </si>
  <si>
    <t>E43093</t>
  </si>
  <si>
    <t>YSI 600 XLM S#04G12530 AD</t>
  </si>
  <si>
    <t>E43131</t>
  </si>
  <si>
    <t>Hydrolab MiniSonde,Sn#41795</t>
  </si>
  <si>
    <t>E43133</t>
  </si>
  <si>
    <t>Hydrolab MiniSonde,Sn#41797</t>
  </si>
  <si>
    <t>E43134</t>
  </si>
  <si>
    <t>Hydrolab MiniSonde,Sn#41798</t>
  </si>
  <si>
    <t>E43135</t>
  </si>
  <si>
    <t>Hydrolab MiniSonde,Sn#41799</t>
  </si>
  <si>
    <t>E43136</t>
  </si>
  <si>
    <t>Hydrolab MiniSonde,Sn#41800</t>
  </si>
  <si>
    <t>E43138</t>
  </si>
  <si>
    <t>Hydrolab MiniSonde,Sn#41802</t>
  </si>
  <si>
    <t>E43139</t>
  </si>
  <si>
    <t>Hydrolab MiniSonde,Sn#41803</t>
  </si>
  <si>
    <t>YSI 600XLM-S,04J16068AA,SFWMD</t>
  </si>
  <si>
    <t>YSI 600XLM-S,04J16068AB,SFWMD</t>
  </si>
  <si>
    <t>YSI 600XLM-S,04J16068AC,SFWMD</t>
  </si>
  <si>
    <t>YSI 600 XLM,04L1649AB,OKEE</t>
  </si>
  <si>
    <t>YSI 600XLM-S,04L1649AA,SFWMD</t>
  </si>
  <si>
    <t>E43463</t>
  </si>
  <si>
    <t>Hydrolab MiniSonde,Sn#42793</t>
  </si>
  <si>
    <t>E43464</t>
  </si>
  <si>
    <t>Hydrolab MiniSonde,Sn#42794</t>
  </si>
  <si>
    <t>E43465</t>
  </si>
  <si>
    <t>Hydrolab MiniSonde,Sn#42795</t>
  </si>
  <si>
    <t>E43466</t>
  </si>
  <si>
    <t>Hydrolab MiniSonde,Sn#42796</t>
  </si>
  <si>
    <t>E44852</t>
  </si>
  <si>
    <t>YSI SN# 07A1899</t>
  </si>
  <si>
    <t>HYDROLAB (MS5),SN 37843,SFWMD</t>
  </si>
  <si>
    <t>Hydrolab MS5 LDO-70200044928</t>
  </si>
  <si>
    <t>Hydrolab MS5 LDO-70200044929</t>
  </si>
  <si>
    <t>Hydrolab MS5 LDO-70200044930</t>
  </si>
  <si>
    <t>Hydrolab MS5-70200044931</t>
  </si>
  <si>
    <t>Hydrolab MS5-70200044932</t>
  </si>
  <si>
    <t>Hydrolab MS5-70200044933</t>
  </si>
  <si>
    <t>E99999</t>
  </si>
  <si>
    <t>Hydrolab Surveyor II</t>
  </si>
  <si>
    <t>EDERM</t>
  </si>
  <si>
    <t>ESCYSI</t>
  </si>
  <si>
    <t>ESCYSI#1A,YSI,05G1082AB</t>
  </si>
  <si>
    <t>F0482D</t>
  </si>
  <si>
    <t>YSI 6920,97F0482AD,SFWMD</t>
  </si>
  <si>
    <t>F1276</t>
  </si>
  <si>
    <t>600QS-O-M,ACC 8/22/05-6/20/05</t>
  </si>
  <si>
    <t>G0800</t>
  </si>
  <si>
    <t>YSI 600KL-B-F, PALM BEACH</t>
  </si>
  <si>
    <t>G0980A</t>
  </si>
  <si>
    <t>YSI 6920,00G0980AA,SFWMD</t>
  </si>
  <si>
    <t>G1082</t>
  </si>
  <si>
    <t>ESCYSI#1A,Start date-8/1/2005</t>
  </si>
  <si>
    <t>G1082B</t>
  </si>
  <si>
    <t>G12282</t>
  </si>
  <si>
    <t>YSI 556 MPS,ARCADIS</t>
  </si>
  <si>
    <t>GP9956</t>
  </si>
  <si>
    <t>GP9956,WHALE SUBMERSIBLE,NPS</t>
  </si>
  <si>
    <t>H0939</t>
  </si>
  <si>
    <t>YSI-60,GROUNDWATER</t>
  </si>
  <si>
    <t>H1127A</t>
  </si>
  <si>
    <t>YSI 6600,BROWARD</t>
  </si>
  <si>
    <t>H1127B</t>
  </si>
  <si>
    <t>YSI 6600,01H1127AB,BROWARD</t>
  </si>
  <si>
    <t>H1127C</t>
  </si>
  <si>
    <t>YSI 6600,01H1127AC,BROWARD</t>
  </si>
  <si>
    <t>H1164</t>
  </si>
  <si>
    <t>YSI-60,GROUNDWATER ENVIRON</t>
  </si>
  <si>
    <t>H2071</t>
  </si>
  <si>
    <t>YSI6600,STA MNGMNT</t>
  </si>
  <si>
    <t>J0376A</t>
  </si>
  <si>
    <t>YSI 6600,01J0376AA,BROWARD</t>
  </si>
  <si>
    <t>J0555B</t>
  </si>
  <si>
    <t>YSI 6600,BROWARD DPEP</t>
  </si>
  <si>
    <t>J0555D</t>
  </si>
  <si>
    <t>J1263</t>
  </si>
  <si>
    <t>YSI-85,GROUNDWATER ENVIRONMENT</t>
  </si>
  <si>
    <t>J1263A</t>
  </si>
  <si>
    <t>J15728</t>
  </si>
  <si>
    <t>YSI 650 MDS,FWEC OR TTFWI</t>
  </si>
  <si>
    <t>K0332</t>
  </si>
  <si>
    <t>YSI 6600,YSI 6600  -E37653</t>
  </si>
  <si>
    <t>K0599A</t>
  </si>
  <si>
    <t>YSI 556,BEM SYSTEMS INC.</t>
  </si>
  <si>
    <t>K0599D</t>
  </si>
  <si>
    <t>YSI 556MPS,01K0599AD,BEM</t>
  </si>
  <si>
    <t>K083</t>
  </si>
  <si>
    <t>YSI UNIT OKEE,97K0833,SFWMD</t>
  </si>
  <si>
    <t>LOX364</t>
  </si>
  <si>
    <t>DATA SONDE,41516,USFWS</t>
  </si>
  <si>
    <t>LOX697</t>
  </si>
  <si>
    <t>USFWS Hydrolab MS5 45669</t>
  </si>
  <si>
    <t>M&amp;E#1A</t>
  </si>
  <si>
    <t>M&amp;EYSI#1A,YSI,04H14324AD</t>
  </si>
  <si>
    <t>M&amp;E#2A</t>
  </si>
  <si>
    <t>M&amp;EYSI#2A,M&amp;EYSI#2A,04H14324AC</t>
  </si>
  <si>
    <t>M&amp;E#3A</t>
  </si>
  <si>
    <t>M&amp;EYSI#3A,YSI,04M1126AC</t>
  </si>
  <si>
    <t>M&amp;E#4A</t>
  </si>
  <si>
    <t>M&amp;EYSI#4A,YSI,05F2275AD</t>
  </si>
  <si>
    <t>M0615</t>
  </si>
  <si>
    <t>YSI EW6820 ,POLK COUNTY YSI</t>
  </si>
  <si>
    <t>M1126A</t>
  </si>
  <si>
    <t>Start Date - 8/1/2005"</t>
  </si>
  <si>
    <t>M1126C</t>
  </si>
  <si>
    <t>M&amp;E YSI #3A,Start-8/1/2005</t>
  </si>
  <si>
    <t>MDSBR1</t>
  </si>
  <si>
    <t>YSI 600 XL,06B2758 AD,DERM</t>
  </si>
  <si>
    <t>MDSBR2</t>
  </si>
  <si>
    <t>YSI 600 XL,06B2758 AC,DERM</t>
  </si>
  <si>
    <t>MDSBR3</t>
  </si>
  <si>
    <t>YSI 600 XL,06B2758 AB,DERM</t>
  </si>
  <si>
    <t>MDSBR4</t>
  </si>
  <si>
    <t>YSI 600 XL,06B2758 AA,DERM</t>
  </si>
  <si>
    <t>MDSBR5</t>
  </si>
  <si>
    <t>YSI 600 XL,06H1148 AA,DERM</t>
  </si>
  <si>
    <t>MDSBR6</t>
  </si>
  <si>
    <t>YSI 600 XL,06H1148 AB,DERM</t>
  </si>
  <si>
    <t>MDSEV1</t>
  </si>
  <si>
    <t>YSI 600 XLM-M,06H1627 AA,DERM</t>
  </si>
  <si>
    <t>MDSEV2</t>
  </si>
  <si>
    <t>YSI 600 XLM-M,06H1627 AB,DERM</t>
  </si>
  <si>
    <t>MDSFB1</t>
  </si>
  <si>
    <t>YSI 600 XL,06K1724 AB,DERM</t>
  </si>
  <si>
    <t>MDSFB2</t>
  </si>
  <si>
    <t>YSI 600 XL,06M1216 AA,DERM</t>
  </si>
  <si>
    <t>MSA01</t>
  </si>
  <si>
    <t>YSI:600 Milian and Swain</t>
  </si>
  <si>
    <t>MSA02</t>
  </si>
  <si>
    <t>MSA17</t>
  </si>
  <si>
    <t>YSI:600 06G1261</t>
  </si>
  <si>
    <t>QD1507</t>
  </si>
  <si>
    <t>QD01507,QD01507/QT01564</t>
  </si>
  <si>
    <t>QD1876</t>
  </si>
  <si>
    <t>QT01985</t>
  </si>
  <si>
    <t>QD2230</t>
  </si>
  <si>
    <t>QD02230,ENVIRONMENTAL QUALITY</t>
  </si>
  <si>
    <t>QD968</t>
  </si>
  <si>
    <t>QD00968,QD00968</t>
  </si>
  <si>
    <t>QT155</t>
  </si>
  <si>
    <t>QUANTRA HYDROLAB-QT1554</t>
  </si>
  <si>
    <t>QT1554</t>
  </si>
  <si>
    <t>NATIONAL PARK SERVICE</t>
  </si>
  <si>
    <t>R44283</t>
  </si>
  <si>
    <t>Hydrolab/MF5</t>
  </si>
  <si>
    <t>S1584</t>
  </si>
  <si>
    <t>DATASONDE 4A,BROWARD</t>
  </si>
  <si>
    <t>S2597</t>
  </si>
  <si>
    <t>HYDROLAB SURVEYOR 4A,FIU</t>
  </si>
  <si>
    <t>S2848</t>
  </si>
  <si>
    <t>HYDROLAB,S2848,ERD</t>
  </si>
  <si>
    <t>T11121</t>
  </si>
  <si>
    <t>HORIBA U-22XD,FOSTER WHEELER</t>
  </si>
  <si>
    <t>T20520</t>
  </si>
  <si>
    <t>YSIGA1</t>
  </si>
  <si>
    <t>YSI:556 MPS,06C2116 AG,Golder</t>
  </si>
  <si>
    <t>YSIGA2</t>
  </si>
  <si>
    <t>650 MDS,06C2323AC,Golder Ass</t>
  </si>
  <si>
    <t>YSIGA3</t>
  </si>
  <si>
    <t>556 MPS,06K1696AF,Golder Ass</t>
  </si>
  <si>
    <t>#0&gt;&lt;100</t>
  </si>
  <si>
    <t>412962</t>
  </si>
  <si>
    <t xml:space="preserve">HydroTech Series4a Multiprobe </t>
  </si>
  <si>
    <t>412963</t>
  </si>
  <si>
    <t>DPEP-E</t>
  </si>
  <si>
    <t>YSI-09D100393</t>
  </si>
  <si>
    <t>Field Collector Signature: ____________________________________________________</t>
  </si>
  <si>
    <t>Date:____________________________________</t>
  </si>
  <si>
    <t>Time: _____________________________</t>
  </si>
  <si>
    <t>Hand Transport:</t>
  </si>
  <si>
    <t>Courier Shipment:</t>
  </si>
  <si>
    <t>Courier Name: _____________________________________</t>
  </si>
  <si>
    <t>Tracking Number: _________________________</t>
  </si>
  <si>
    <t>Other: ____________________________</t>
  </si>
  <si>
    <t>Custody Seal Applied: ______________________________(initial)</t>
  </si>
  <si>
    <t>Samples Shipped in ice: _______________________________________(initial)</t>
  </si>
  <si>
    <t>Evidence of sample cooling (ice present in cooler) at the time samples were removed from the cooler:</t>
  </si>
  <si>
    <t>Yes: ___________</t>
  </si>
  <si>
    <t>No: ___________</t>
  </si>
  <si>
    <t>Initial: _________</t>
  </si>
  <si>
    <t>Notes on delivery temperature of other conditions: ___________________________________________________________________________________________________________________________</t>
  </si>
  <si>
    <t>Custody Seal Intact (courier shipments only) _____________ (Y/N)</t>
  </si>
  <si>
    <t>Acidified ________________(Y/N)</t>
  </si>
  <si>
    <r>
      <t>Temperature check bottle present:   Yes _________</t>
    </r>
    <r>
      <rPr>
        <sz val="8"/>
        <color indexed="62"/>
        <rFont val="Calibri"/>
        <family val="2"/>
      </rPr>
      <t>°</t>
    </r>
    <r>
      <rPr>
        <sz val="8"/>
        <color indexed="62"/>
        <rFont val="Arial"/>
        <family val="2"/>
      </rPr>
      <t>C  No ___________</t>
    </r>
  </si>
  <si>
    <t>Documentation, labeling, missing items or other issues noted at login: ____________________________________________________________________________________________________________</t>
  </si>
  <si>
    <t>JH</t>
  </si>
  <si>
    <t>CAMB</t>
  </si>
  <si>
    <t>Field Use Only</t>
  </si>
  <si>
    <t>Lab Use Only</t>
  </si>
  <si>
    <t>Work ID</t>
  </si>
  <si>
    <t>P57536</t>
  </si>
  <si>
    <t>P57537</t>
  </si>
  <si>
    <t>P57538</t>
  </si>
  <si>
    <t>P57541</t>
  </si>
  <si>
    <t>P57542</t>
  </si>
  <si>
    <t>P57544</t>
  </si>
  <si>
    <t>P57545</t>
  </si>
  <si>
    <t>P57546</t>
  </si>
  <si>
    <t>P57547</t>
  </si>
  <si>
    <t>P57548</t>
  </si>
  <si>
    <t>P57549</t>
  </si>
  <si>
    <t>P57550</t>
  </si>
  <si>
    <t>P57551</t>
  </si>
  <si>
    <t>P57552</t>
  </si>
  <si>
    <t>P57559</t>
  </si>
  <si>
    <t>P57560</t>
  </si>
  <si>
    <t>P57564</t>
  </si>
  <si>
    <t>P57571</t>
  </si>
  <si>
    <t>P57576</t>
  </si>
  <si>
    <t>P57579</t>
  </si>
  <si>
    <t>P57582</t>
  </si>
  <si>
    <t>P57583</t>
  </si>
  <si>
    <t>P57584</t>
  </si>
  <si>
    <t>P57586</t>
  </si>
  <si>
    <t>P57593</t>
  </si>
  <si>
    <t>P57596</t>
  </si>
  <si>
    <t>P57597</t>
  </si>
  <si>
    <t>P57598</t>
  </si>
  <si>
    <t>P57599</t>
  </si>
  <si>
    <t>P57601</t>
  </si>
  <si>
    <t>P57606</t>
  </si>
  <si>
    <t>P57607</t>
  </si>
  <si>
    <t>P57608</t>
  </si>
  <si>
    <t>P57611</t>
  </si>
  <si>
    <t>P57612</t>
  </si>
  <si>
    <t>P57617</t>
  </si>
  <si>
    <t>P57620</t>
  </si>
  <si>
    <t>P57621</t>
  </si>
  <si>
    <t>P57622</t>
  </si>
  <si>
    <t>JA</t>
  </si>
  <si>
    <t xml:space="preserve">Andre, Rachel </t>
  </si>
  <si>
    <t>RB</t>
  </si>
  <si>
    <t xml:space="preserve">Blaha, Michelle </t>
  </si>
  <si>
    <t>LC</t>
  </si>
  <si>
    <t>Chimney, Michael J</t>
  </si>
  <si>
    <t>MJC</t>
  </si>
  <si>
    <t xml:space="preserve">Councilman, Jimmy </t>
  </si>
  <si>
    <t>SD</t>
  </si>
  <si>
    <t xml:space="preserve">Diaz, Orlando </t>
  </si>
  <si>
    <t>Dixson, Marcie Angela</t>
  </si>
  <si>
    <t>MAD</t>
  </si>
  <si>
    <t xml:space="preserve">Foerste, Eleanor </t>
  </si>
  <si>
    <t xml:space="preserve">Gagliardi, Tom </t>
  </si>
  <si>
    <t>TG</t>
  </si>
  <si>
    <t xml:space="preserve">Gamboa, Abner </t>
  </si>
  <si>
    <t>Gibble, Rebekah E.</t>
  </si>
  <si>
    <t xml:space="preserve">Gunsalus, Boyd </t>
  </si>
  <si>
    <t>LH</t>
  </si>
  <si>
    <t xml:space="preserve">Hansing, Jodie </t>
  </si>
  <si>
    <t>BH</t>
  </si>
  <si>
    <t xml:space="preserve">Haunert, Kathy </t>
  </si>
  <si>
    <t>LRSTA</t>
  </si>
  <si>
    <t>McCartney, Beth A.</t>
  </si>
  <si>
    <t>BAM</t>
  </si>
  <si>
    <t xml:space="preserve">McEachern, Michelle </t>
  </si>
  <si>
    <t xml:space="preserve">Moharer, Fatemeh </t>
  </si>
  <si>
    <t>FM</t>
  </si>
  <si>
    <t xml:space="preserve">Morris, Drew </t>
  </si>
  <si>
    <t>Navarro, Louis P.</t>
  </si>
  <si>
    <t>LPN</t>
  </si>
  <si>
    <t xml:space="preserve">Rauscher, Yvette </t>
  </si>
  <si>
    <t>YR</t>
  </si>
  <si>
    <t xml:space="preserve">Roux, Arnaud </t>
  </si>
  <si>
    <t xml:space="preserve">Salinas, Henry </t>
  </si>
  <si>
    <t xml:space="preserve">Santamaria, Fabiola </t>
  </si>
  <si>
    <t xml:space="preserve">Saunders, Colin </t>
  </si>
  <si>
    <t>Scharkopf, Christopher J.</t>
  </si>
  <si>
    <t>CJS</t>
  </si>
  <si>
    <t xml:space="preserve">Schneider, Sabrina </t>
  </si>
  <si>
    <t xml:space="preserve">Steward, Cheree </t>
  </si>
  <si>
    <t xml:space="preserve">Stokes, Jeb </t>
  </si>
  <si>
    <t>JS</t>
  </si>
  <si>
    <t xml:space="preserve">Stone, Nicole </t>
  </si>
  <si>
    <t>NS</t>
  </si>
  <si>
    <t xml:space="preserve">Taylor, Bob </t>
  </si>
  <si>
    <t>BT</t>
  </si>
  <si>
    <t xml:space="preserve">Walther, Edward </t>
  </si>
  <si>
    <t>Drill Stem</t>
  </si>
  <si>
    <t>DST</t>
  </si>
  <si>
    <t>Packer testing</t>
  </si>
  <si>
    <t>PKR</t>
  </si>
  <si>
    <t>Deion. H2O</t>
  </si>
  <si>
    <t>DI</t>
  </si>
  <si>
    <t>Lab Reagent Blank</t>
  </si>
  <si>
    <t>LRB</t>
  </si>
  <si>
    <t>1C0678</t>
  </si>
  <si>
    <t xml:space="preserve">YSI 600XL,01C0678AA,Collier </t>
  </si>
  <si>
    <t>38079</t>
  </si>
  <si>
    <t>413027</t>
  </si>
  <si>
    <t>YSI Model#:600XL -B-0</t>
  </si>
  <si>
    <t>413127</t>
  </si>
  <si>
    <t>YSI 600XLM Multi-Param sonde</t>
  </si>
  <si>
    <t>413128</t>
  </si>
  <si>
    <t>413146</t>
  </si>
  <si>
    <t>413147</t>
  </si>
  <si>
    <t>413976</t>
  </si>
  <si>
    <t>YSI600XLM,SFWMD</t>
  </si>
  <si>
    <t>413979</t>
  </si>
  <si>
    <t>413980</t>
  </si>
  <si>
    <t>413981</t>
  </si>
  <si>
    <t>YSI600XLM</t>
  </si>
  <si>
    <t>413983</t>
  </si>
  <si>
    <t>413984</t>
  </si>
  <si>
    <t>413985</t>
  </si>
  <si>
    <t>413997</t>
  </si>
  <si>
    <t>414222</t>
  </si>
  <si>
    <t>YSI Sonde, Model #:600XL-B-0</t>
  </si>
  <si>
    <t>414223</t>
  </si>
  <si>
    <t>414779</t>
  </si>
  <si>
    <t>Hydrotech Hydrolab Compact MS</t>
  </si>
  <si>
    <t>414780</t>
  </si>
  <si>
    <t>414983</t>
  </si>
  <si>
    <t>YSI 600XLM, Depth</t>
  </si>
  <si>
    <t>414984</t>
  </si>
  <si>
    <t>414985</t>
  </si>
  <si>
    <t>YSI 600 XL V2 Optical D.O.</t>
  </si>
  <si>
    <t>414991</t>
  </si>
  <si>
    <t>YSI 600 XL</t>
  </si>
  <si>
    <t>414996</t>
  </si>
  <si>
    <t>Hydrotech / compact sonde</t>
  </si>
  <si>
    <t>414997</t>
  </si>
  <si>
    <t>4D7787</t>
  </si>
  <si>
    <t>YSI 600XL,04D7787AB,Collier</t>
  </si>
  <si>
    <t>5B2050</t>
  </si>
  <si>
    <t>YSI 600XL,05B2050AA,Collier</t>
  </si>
  <si>
    <t>YSI 600 XLM-S</t>
  </si>
  <si>
    <t>912746</t>
  </si>
  <si>
    <t xml:space="preserve">Pt-100 precision thermometer  </t>
  </si>
  <si>
    <t>A0852A</t>
  </si>
  <si>
    <t>YSI 600XL, 00A0852AA,Collier</t>
  </si>
  <si>
    <t>BI01</t>
  </si>
  <si>
    <t>YSI 600 XLM-S, DERM, 090101625</t>
  </si>
  <si>
    <t>BI02</t>
  </si>
  <si>
    <t>YSI 600 XLM-S, DERM, 090101624</t>
  </si>
  <si>
    <t>MDSEV3</t>
  </si>
  <si>
    <t>Miami-Dade DERM/YSI 600XLM</t>
  </si>
  <si>
    <t>MDSFB3</t>
  </si>
  <si>
    <t>YSI SN 10F101107</t>
  </si>
  <si>
    <t>MDSHI1</t>
  </si>
  <si>
    <t>YSI SN 11L101714</t>
  </si>
  <si>
    <t>QD3652</t>
  </si>
  <si>
    <t>FIU-Hach Quanta Meter-Qd03652</t>
  </si>
  <si>
    <t>QT5430</t>
  </si>
  <si>
    <t>SN1108</t>
  </si>
  <si>
    <t>Hydrolab Series MS5 Multiprobe</t>
  </si>
  <si>
    <t>PARENT_SCHEDULE_SEQ</t>
  </si>
  <si>
    <t>TEST_SEQ</t>
  </si>
  <si>
    <t>Event ID</t>
  </si>
  <si>
    <t>DBHYDRO Project</t>
  </si>
  <si>
    <t>Client</t>
  </si>
  <si>
    <t>PROJ</t>
  </si>
  <si>
    <t>Client:</t>
  </si>
  <si>
    <t>=R652C26</t>
  </si>
  <si>
    <t>ASEB</t>
  </si>
  <si>
    <t>BBWQ</t>
  </si>
  <si>
    <t>BCWQ</t>
  </si>
  <si>
    <t>BRM</t>
  </si>
  <si>
    <t>C111F</t>
  </si>
  <si>
    <t>C139B</t>
  </si>
  <si>
    <t>C139D</t>
  </si>
  <si>
    <t>C4IP</t>
  </si>
  <si>
    <t>CCWQ</t>
  </si>
  <si>
    <t>CESWQ</t>
  </si>
  <si>
    <t>CRECH</t>
  </si>
  <si>
    <t>CRFW</t>
  </si>
  <si>
    <t>CUMESO</t>
  </si>
  <si>
    <t>DPM</t>
  </si>
  <si>
    <t>EAA</t>
  </si>
  <si>
    <t>ECPE</t>
  </si>
  <si>
    <t>ENF</t>
  </si>
  <si>
    <t>ENPW</t>
  </si>
  <si>
    <t>ESP</t>
  </si>
  <si>
    <t>EVER</t>
  </si>
  <si>
    <t>EVPA</t>
  </si>
  <si>
    <t>EYIWR</t>
  </si>
  <si>
    <t>FLAB</t>
  </si>
  <si>
    <t>G161</t>
  </si>
  <si>
    <t>HGBM</t>
  </si>
  <si>
    <t>HGFS</t>
  </si>
  <si>
    <t>HWTT</t>
  </si>
  <si>
    <t>IRL</t>
  </si>
  <si>
    <t>KREA</t>
  </si>
  <si>
    <t>L8CELL</t>
  </si>
  <si>
    <t>L8RT</t>
  </si>
  <si>
    <t>LAB2</t>
  </si>
  <si>
    <t>LBT</t>
  </si>
  <si>
    <t>LFAKB</t>
  </si>
  <si>
    <t>LKR</t>
  </si>
  <si>
    <t>LOWA</t>
  </si>
  <si>
    <t>LOXCH</t>
  </si>
  <si>
    <t>LWL</t>
  </si>
  <si>
    <t>MESO1W</t>
  </si>
  <si>
    <t>MESOISO</t>
  </si>
  <si>
    <t>NAG</t>
  </si>
  <si>
    <t>NECP</t>
  </si>
  <si>
    <t>NWEQ</t>
  </si>
  <si>
    <t>OKEEDI</t>
  </si>
  <si>
    <t>OKUSGS</t>
  </si>
  <si>
    <t>PIN</t>
  </si>
  <si>
    <t>PRODTEST</t>
  </si>
  <si>
    <t>PSTA</t>
  </si>
  <si>
    <t>QPES</t>
  </si>
  <si>
    <t>RAIN</t>
  </si>
  <si>
    <t>ROME</t>
  </si>
  <si>
    <t>ROOK</t>
  </si>
  <si>
    <t>RTBG</t>
  </si>
  <si>
    <t>SEAA</t>
  </si>
  <si>
    <t>SEMI</t>
  </si>
  <si>
    <t>SLECH</t>
  </si>
  <si>
    <t>SLSM</t>
  </si>
  <si>
    <t>SLT</t>
  </si>
  <si>
    <t>ST1EF</t>
  </si>
  <si>
    <t>ST1ER</t>
  </si>
  <si>
    <t>ST2F</t>
  </si>
  <si>
    <t>ST34F</t>
  </si>
  <si>
    <t>ST5F</t>
  </si>
  <si>
    <t>ST5R</t>
  </si>
  <si>
    <t>ST6F</t>
  </si>
  <si>
    <t>PERI</t>
  </si>
  <si>
    <t>PIE</t>
  </si>
  <si>
    <t>TOHOGBCV</t>
  </si>
  <si>
    <t>TOHOHARV</t>
  </si>
  <si>
    <t>TOHOLAKE</t>
  </si>
  <si>
    <t>TOHONRP</t>
  </si>
  <si>
    <t>TREE</t>
  </si>
  <si>
    <t>TTI</t>
  </si>
  <si>
    <t>TUK</t>
  </si>
  <si>
    <t>UKCL</t>
  </si>
  <si>
    <t>WCA1T</t>
  </si>
  <si>
    <t>WCA-2A</t>
  </si>
  <si>
    <t>WQM</t>
  </si>
  <si>
    <t>TCNS</t>
  </si>
  <si>
    <t>TCSTA</t>
  </si>
  <si>
    <t>CXI,DRY,ELC,FP,G,GB,GP,HAL,MAN,NET,TRP,UNK,WET,ACF,ACT,ADF,ADT,ATF,BLK,CDI,CIC,CSI,CWI,CXC</t>
  </si>
  <si>
    <t>ACF,ACT,ADF,ADT,ATF</t>
  </si>
  <si>
    <t>hfdm</t>
  </si>
  <si>
    <t>h3dm34312</t>
  </si>
  <si>
    <t>P57625</t>
  </si>
  <si>
    <t>P57626</t>
  </si>
  <si>
    <t>P57627</t>
  </si>
  <si>
    <t>P57631</t>
  </si>
  <si>
    <t>P57632</t>
  </si>
  <si>
    <t>P57634</t>
  </si>
  <si>
    <t>P57638</t>
  </si>
  <si>
    <t>P57640</t>
  </si>
  <si>
    <t>P57641</t>
  </si>
  <si>
    <t>P57645</t>
  </si>
  <si>
    <t>P57646</t>
  </si>
  <si>
    <t>P57648</t>
  </si>
  <si>
    <t>P57649</t>
  </si>
  <si>
    <t>P57650</t>
  </si>
  <si>
    <t>P57651</t>
  </si>
  <si>
    <t>P57652</t>
  </si>
  <si>
    <t>P57653</t>
  </si>
  <si>
    <t>P57655</t>
  </si>
  <si>
    <t>P57656</t>
  </si>
  <si>
    <t>P57657</t>
  </si>
  <si>
    <t>P57658</t>
  </si>
  <si>
    <t>P57662</t>
  </si>
  <si>
    <t>P57663</t>
  </si>
  <si>
    <t>P57664</t>
  </si>
  <si>
    <t>P57665</t>
  </si>
  <si>
    <t>P57669</t>
  </si>
  <si>
    <t>P57672</t>
  </si>
  <si>
    <t>P57673</t>
  </si>
  <si>
    <t>P57674</t>
  </si>
  <si>
    <t>P57675</t>
  </si>
  <si>
    <t>P57681</t>
  </si>
  <si>
    <t>P57682</t>
  </si>
  <si>
    <t>P57683</t>
  </si>
  <si>
    <t>P57684</t>
  </si>
  <si>
    <t>P57685</t>
  </si>
  <si>
    <t>P57686</t>
  </si>
  <si>
    <t>P57687</t>
  </si>
  <si>
    <t>P57688</t>
  </si>
  <si>
    <t>P57689</t>
  </si>
  <si>
    <t>P57690</t>
  </si>
  <si>
    <t>P57691</t>
  </si>
  <si>
    <t>P57692</t>
  </si>
  <si>
    <t>P57693</t>
  </si>
  <si>
    <t>P57694</t>
  </si>
  <si>
    <t>P57695</t>
  </si>
  <si>
    <t>P57696</t>
  </si>
  <si>
    <t>P57697</t>
  </si>
  <si>
    <t>P57698</t>
  </si>
  <si>
    <t>P57699</t>
  </si>
  <si>
    <t>P57700</t>
  </si>
  <si>
    <t>P57701</t>
  </si>
  <si>
    <t>P57702</t>
  </si>
  <si>
    <t>P57703</t>
  </si>
  <si>
    <t>P57704</t>
  </si>
  <si>
    <t>P57705</t>
  </si>
  <si>
    <t>P57706</t>
  </si>
  <si>
    <t>P57711</t>
  </si>
  <si>
    <t>P57712</t>
  </si>
  <si>
    <t>P57715</t>
  </si>
  <si>
    <t>P57718</t>
  </si>
  <si>
    <t>P57722</t>
  </si>
  <si>
    <t>P57723</t>
  </si>
  <si>
    <t>P57727</t>
  </si>
  <si>
    <t>P57728</t>
  </si>
  <si>
    <t>P57729</t>
  </si>
  <si>
    <t>P57730</t>
  </si>
  <si>
    <t>P57731</t>
  </si>
  <si>
    <t>P57732</t>
  </si>
  <si>
    <t>P57733</t>
  </si>
  <si>
    <t>P57734</t>
  </si>
  <si>
    <t>P57735</t>
  </si>
  <si>
    <t>P57736</t>
  </si>
  <si>
    <t>P57737</t>
  </si>
  <si>
    <t>P57738</t>
  </si>
  <si>
    <t>P57739</t>
  </si>
  <si>
    <t>P57740</t>
  </si>
  <si>
    <t>P57741</t>
  </si>
  <si>
    <t>P57742</t>
  </si>
  <si>
    <t>P57743</t>
  </si>
  <si>
    <t>P57744</t>
  </si>
  <si>
    <t>P57745</t>
  </si>
  <si>
    <t>P57746</t>
  </si>
  <si>
    <t>P57748</t>
  </si>
  <si>
    <t>P57750</t>
  </si>
  <si>
    <t>P57751</t>
  </si>
  <si>
    <t>P57752</t>
  </si>
  <si>
    <t>P57753</t>
  </si>
  <si>
    <t>P57754</t>
  </si>
  <si>
    <t>P57755</t>
  </si>
  <si>
    <t>P57756</t>
  </si>
  <si>
    <t>P57757</t>
  </si>
  <si>
    <t>P57764</t>
  </si>
  <si>
    <t>P57769</t>
  </si>
  <si>
    <t>P57773</t>
  </si>
  <si>
    <t>P57774</t>
  </si>
  <si>
    <t>P57780</t>
  </si>
  <si>
    <t>P57781</t>
  </si>
  <si>
    <t>P57782</t>
  </si>
  <si>
    <t>P57783</t>
  </si>
  <si>
    <t>P57784</t>
  </si>
  <si>
    <t>P57785</t>
  </si>
  <si>
    <t>P57786</t>
  </si>
  <si>
    <t>P57787</t>
  </si>
  <si>
    <t>P57791</t>
  </si>
  <si>
    <t>P57792</t>
  </si>
  <si>
    <t>P57793</t>
  </si>
  <si>
    <t>P57794</t>
  </si>
  <si>
    <t>P57795</t>
  </si>
  <si>
    <t>P57797</t>
  </si>
  <si>
    <t>P57798</t>
  </si>
  <si>
    <t>P57799</t>
  </si>
  <si>
    <t>P57800</t>
  </si>
  <si>
    <t>P57801</t>
  </si>
  <si>
    <t>P57802</t>
  </si>
  <si>
    <t>P57804</t>
  </si>
  <si>
    <t>P57816</t>
  </si>
  <si>
    <t>P57817</t>
  </si>
  <si>
    <t>P57818</t>
  </si>
  <si>
    <t>P57819</t>
  </si>
  <si>
    <t>P57820</t>
  </si>
  <si>
    <t>P57821</t>
  </si>
  <si>
    <t>P57822</t>
  </si>
  <si>
    <t>P57826</t>
  </si>
  <si>
    <t>P57828</t>
  </si>
  <si>
    <t>P57831</t>
  </si>
  <si>
    <t>P57832</t>
  </si>
  <si>
    <t>P57833</t>
  </si>
  <si>
    <t>P57834</t>
  </si>
  <si>
    <t>P57836</t>
  </si>
  <si>
    <t>P57837</t>
  </si>
  <si>
    <t>P57838</t>
  </si>
  <si>
    <t>P57841</t>
  </si>
  <si>
    <t>P57849</t>
  </si>
  <si>
    <t>P57850</t>
  </si>
  <si>
    <t>P57851</t>
  </si>
  <si>
    <t>P57852</t>
  </si>
  <si>
    <t>P57853</t>
  </si>
  <si>
    <t>P57854</t>
  </si>
  <si>
    <t>P57855</t>
  </si>
  <si>
    <t>P57857</t>
  </si>
  <si>
    <t>P57858</t>
  </si>
  <si>
    <t>P57859</t>
  </si>
  <si>
    <t>P57872</t>
  </si>
  <si>
    <t>P57873</t>
  </si>
  <si>
    <t>P57874</t>
  </si>
  <si>
    <t>P57875</t>
  </si>
  <si>
    <t>P57876</t>
  </si>
  <si>
    <t>P57877</t>
  </si>
  <si>
    <t>P57885</t>
  </si>
  <si>
    <t>P57886</t>
  </si>
  <si>
    <t>P57888</t>
  </si>
  <si>
    <t>P57889</t>
  </si>
  <si>
    <t>P57892</t>
  </si>
  <si>
    <t>P57893</t>
  </si>
  <si>
    <t>P57894</t>
  </si>
  <si>
    <t>P57895</t>
  </si>
  <si>
    <t>P57896</t>
  </si>
  <si>
    <t>P57898</t>
  </si>
  <si>
    <t>P57901</t>
  </si>
  <si>
    <t>P57902</t>
  </si>
  <si>
    <t>P57903</t>
  </si>
  <si>
    <t>P57904</t>
  </si>
  <si>
    <t>P57905</t>
  </si>
  <si>
    <t>P57908</t>
  </si>
  <si>
    <t>P57909</t>
  </si>
  <si>
    <t>P57911</t>
  </si>
  <si>
    <t>P57912</t>
  </si>
  <si>
    <t>P57913</t>
  </si>
  <si>
    <t>P57914</t>
  </si>
  <si>
    <t>P57915</t>
  </si>
  <si>
    <t>P57916</t>
  </si>
  <si>
    <t>P57917</t>
  </si>
  <si>
    <t>P57920</t>
  </si>
  <si>
    <t>P57921</t>
  </si>
  <si>
    <t>P57922</t>
  </si>
  <si>
    <t>P57923</t>
  </si>
  <si>
    <t>P57924</t>
  </si>
  <si>
    <t>P57928</t>
  </si>
  <si>
    <t>P57929</t>
  </si>
  <si>
    <t>P57930</t>
  </si>
  <si>
    <t>P57931</t>
  </si>
  <si>
    <t>P57932</t>
  </si>
  <si>
    <t>P57933</t>
  </si>
  <si>
    <t>P57934</t>
  </si>
  <si>
    <t>P57935</t>
  </si>
  <si>
    <t>P57939</t>
  </si>
  <si>
    <t>P57940</t>
  </si>
  <si>
    <t>P57941</t>
  </si>
  <si>
    <t>P57942</t>
  </si>
  <si>
    <t>P57947</t>
  </si>
  <si>
    <t>P57948</t>
  </si>
  <si>
    <t>P57949</t>
  </si>
  <si>
    <t>P57950</t>
  </si>
  <si>
    <t>P57952</t>
  </si>
  <si>
    <t>P57957</t>
  </si>
  <si>
    <t>P57958</t>
  </si>
  <si>
    <t>P57966</t>
  </si>
  <si>
    <t>P57967</t>
  </si>
  <si>
    <t>P57968</t>
  </si>
  <si>
    <t>P57969</t>
  </si>
  <si>
    <t>P57970</t>
  </si>
  <si>
    <t>P57971</t>
  </si>
  <si>
    <t>P57972</t>
  </si>
  <si>
    <t>P57973</t>
  </si>
  <si>
    <t>P57975</t>
  </si>
  <si>
    <t>P57977</t>
  </si>
  <si>
    <t>P57978</t>
  </si>
  <si>
    <t>P57979</t>
  </si>
  <si>
    <t>P57987</t>
  </si>
  <si>
    <t>P57988</t>
  </si>
  <si>
    <t>P57989</t>
  </si>
  <si>
    <t>P57990</t>
  </si>
  <si>
    <t>P57991</t>
  </si>
  <si>
    <t>P57992</t>
  </si>
  <si>
    <t>P57993</t>
  </si>
  <si>
    <t>P57994</t>
  </si>
  <si>
    <t>P57996</t>
  </si>
  <si>
    <t>P57998</t>
  </si>
  <si>
    <t>P58001</t>
  </si>
  <si>
    <t>P58004</t>
  </si>
  <si>
    <t>P58009</t>
  </si>
  <si>
    <t>P58016</t>
  </si>
  <si>
    <t>P58019</t>
  </si>
  <si>
    <t>P58021</t>
  </si>
  <si>
    <t>P58022</t>
  </si>
  <si>
    <t>P58023</t>
  </si>
  <si>
    <t>P58024</t>
  </si>
  <si>
    <t>P58025</t>
  </si>
  <si>
    <t>P58028</t>
  </si>
  <si>
    <t>P58046</t>
  </si>
  <si>
    <t>P58049</t>
  </si>
  <si>
    <t>P58050</t>
  </si>
  <si>
    <t>P58051</t>
  </si>
  <si>
    <t>P58057</t>
  </si>
  <si>
    <t>P58058</t>
  </si>
  <si>
    <t>P58067</t>
  </si>
  <si>
    <t>P58068</t>
  </si>
  <si>
    <t>P58075</t>
  </si>
  <si>
    <t>P58076</t>
  </si>
  <si>
    <t>P58077</t>
  </si>
  <si>
    <t>P58078</t>
  </si>
  <si>
    <t>P58079</t>
  </si>
  <si>
    <t>P58092</t>
  </si>
  <si>
    <t>P58093</t>
  </si>
  <si>
    <t>P58094</t>
  </si>
  <si>
    <t>P58095</t>
  </si>
  <si>
    <t>P58096</t>
  </si>
  <si>
    <t>P58097</t>
  </si>
  <si>
    <t>P58098</t>
  </si>
  <si>
    <t>P58099</t>
  </si>
  <si>
    <t>P58100</t>
  </si>
  <si>
    <t>P58101</t>
  </si>
  <si>
    <t>P58102</t>
  </si>
  <si>
    <t>P58103</t>
  </si>
  <si>
    <t>P58104</t>
  </si>
  <si>
    <t>P58105</t>
  </si>
  <si>
    <t>P58107</t>
  </si>
  <si>
    <t>P58108</t>
  </si>
  <si>
    <t>P58111</t>
  </si>
  <si>
    <t>P58113</t>
  </si>
  <si>
    <t>P58126</t>
  </si>
  <si>
    <t>P58127</t>
  </si>
  <si>
    <t>P58129</t>
  </si>
  <si>
    <t>P58132</t>
  </si>
  <si>
    <t>P58136</t>
  </si>
  <si>
    <t>P58142</t>
  </si>
  <si>
    <t>P58143</t>
  </si>
  <si>
    <t>P58144</t>
  </si>
  <si>
    <t>P58145</t>
  </si>
  <si>
    <t>P58147</t>
  </si>
  <si>
    <t>P58148</t>
  </si>
  <si>
    <t>P58149</t>
  </si>
  <si>
    <t>P58150</t>
  </si>
  <si>
    <t>P58151</t>
  </si>
  <si>
    <t>P58152</t>
  </si>
  <si>
    <t>P58156</t>
  </si>
  <si>
    <t>P58157</t>
  </si>
  <si>
    <t>P58158</t>
  </si>
  <si>
    <t>P58161</t>
  </si>
  <si>
    <t>P58162</t>
  </si>
  <si>
    <t>P58163</t>
  </si>
  <si>
    <t>P58164</t>
  </si>
  <si>
    <t>P58165</t>
  </si>
  <si>
    <t>P58166</t>
  </si>
  <si>
    <t>P58167</t>
  </si>
  <si>
    <t>P58168</t>
  </si>
  <si>
    <t>P58169</t>
  </si>
  <si>
    <t>P58170</t>
  </si>
  <si>
    <t>P58171</t>
  </si>
  <si>
    <t>P58174</t>
  </si>
  <si>
    <t>P58180</t>
  </si>
  <si>
    <t>P58182</t>
  </si>
  <si>
    <t>P58186</t>
  </si>
  <si>
    <t>P58187</t>
  </si>
  <si>
    <t>P58191</t>
  </si>
  <si>
    <t>P58192</t>
  </si>
  <si>
    <t>P58194</t>
  </si>
  <si>
    <t>P58196</t>
  </si>
  <si>
    <t>P58197</t>
  </si>
  <si>
    <t>P58198</t>
  </si>
  <si>
    <t>P58200</t>
  </si>
  <si>
    <t>P58206</t>
  </si>
  <si>
    <t>P58207</t>
  </si>
  <si>
    <t>P58208</t>
  </si>
  <si>
    <t>P58209</t>
  </si>
  <si>
    <t>P58211</t>
  </si>
  <si>
    <t>P58212</t>
  </si>
  <si>
    <t>P58213</t>
  </si>
  <si>
    <t>P58214</t>
  </si>
  <si>
    <t>P58215</t>
  </si>
  <si>
    <t>P58219</t>
  </si>
  <si>
    <t>P58220</t>
  </si>
  <si>
    <t>P58221</t>
  </si>
  <si>
    <t>P58222</t>
  </si>
  <si>
    <t>P58226</t>
  </si>
  <si>
    <t>P58227</t>
  </si>
  <si>
    <t>P58228</t>
  </si>
  <si>
    <t>P58229</t>
  </si>
  <si>
    <t>P58230</t>
  </si>
  <si>
    <t>P58232</t>
  </si>
  <si>
    <t>P58233</t>
  </si>
  <si>
    <t>P58234</t>
  </si>
  <si>
    <t>P58237</t>
  </si>
  <si>
    <t>P58238</t>
  </si>
  <si>
    <t>P58240</t>
  </si>
  <si>
    <t>P58242</t>
  </si>
  <si>
    <t>P58243</t>
  </si>
  <si>
    <t>P58244</t>
  </si>
  <si>
    <t>P58245</t>
  </si>
  <si>
    <t>P58246</t>
  </si>
  <si>
    <t>P58248</t>
  </si>
  <si>
    <t>P58249</t>
  </si>
  <si>
    <t>P58251</t>
  </si>
  <si>
    <t>P58252</t>
  </si>
  <si>
    <t>P58253</t>
  </si>
  <si>
    <t>P58254</t>
  </si>
  <si>
    <t>P58255</t>
  </si>
  <si>
    <t>P58257</t>
  </si>
  <si>
    <t>P58258</t>
  </si>
  <si>
    <t>P58259</t>
  </si>
  <si>
    <t>P58273</t>
  </si>
  <si>
    <t>P58274</t>
  </si>
  <si>
    <t>P58275</t>
  </si>
  <si>
    <t>P58277</t>
  </si>
  <si>
    <t>P58278</t>
  </si>
  <si>
    <t>P58279</t>
  </si>
  <si>
    <t>P58280</t>
  </si>
  <si>
    <t>P58281</t>
  </si>
  <si>
    <t>P58282</t>
  </si>
  <si>
    <t>P58283</t>
  </si>
  <si>
    <t>P58284</t>
  </si>
  <si>
    <t>P58285</t>
  </si>
  <si>
    <t>P58286</t>
  </si>
  <si>
    <t>P58287</t>
  </si>
  <si>
    <t>P58288</t>
  </si>
  <si>
    <t>P58289</t>
  </si>
  <si>
    <t>P58291</t>
  </si>
  <si>
    <t>P58296</t>
  </si>
  <si>
    <t>P58297</t>
  </si>
  <si>
    <t>P58298</t>
  </si>
  <si>
    <t>P58299</t>
  </si>
  <si>
    <t>P58300</t>
  </si>
  <si>
    <t>P58301</t>
  </si>
  <si>
    <t>P58302</t>
  </si>
  <si>
    <t>P58305</t>
  </si>
  <si>
    <t>P58306</t>
  </si>
  <si>
    <t>P58307</t>
  </si>
  <si>
    <t>P58308</t>
  </si>
  <si>
    <t>P58309</t>
  </si>
  <si>
    <t>P58310</t>
  </si>
  <si>
    <t>P58311</t>
  </si>
  <si>
    <t>P58320</t>
  </si>
  <si>
    <t>P58321</t>
  </si>
  <si>
    <t>P58322</t>
  </si>
  <si>
    <t>P58323</t>
  </si>
  <si>
    <t>P58324</t>
  </si>
  <si>
    <t>P58325</t>
  </si>
  <si>
    <t>P58326</t>
  </si>
  <si>
    <t>P58327</t>
  </si>
  <si>
    <t>P58328</t>
  </si>
  <si>
    <t>P58329</t>
  </si>
  <si>
    <t>P58330</t>
  </si>
  <si>
    <t>P58331</t>
  </si>
  <si>
    <t>P58332</t>
  </si>
  <si>
    <t>P58333</t>
  </si>
  <si>
    <t>P58334</t>
  </si>
  <si>
    <t>P58339</t>
  </si>
  <si>
    <t>P58340</t>
  </si>
  <si>
    <t>P58341</t>
  </si>
  <si>
    <t>P58342</t>
  </si>
  <si>
    <t>P58347</t>
  </si>
  <si>
    <t>P58348</t>
  </si>
  <si>
    <t>P58349</t>
  </si>
  <si>
    <t>P58351</t>
  </si>
  <si>
    <t>P58353</t>
  </si>
  <si>
    <t>P58354</t>
  </si>
  <si>
    <t>P58357</t>
  </si>
  <si>
    <t>P58360</t>
  </si>
  <si>
    <t>P58361</t>
  </si>
  <si>
    <t>P58362</t>
  </si>
  <si>
    <t>P58363</t>
  </si>
  <si>
    <t>P58368</t>
  </si>
  <si>
    <t>P58369</t>
  </si>
  <si>
    <t>P58376</t>
  </si>
  <si>
    <t>P58377</t>
  </si>
  <si>
    <t>P58378</t>
  </si>
  <si>
    <t>P58379</t>
  </si>
  <si>
    <t>P58382</t>
  </si>
  <si>
    <t>P58383</t>
  </si>
  <si>
    <t>P58386</t>
  </si>
  <si>
    <t>P58387</t>
  </si>
  <si>
    <t>P58388</t>
  </si>
  <si>
    <t>P58389</t>
  </si>
  <si>
    <t>P58390</t>
  </si>
  <si>
    <t>P58391</t>
  </si>
  <si>
    <t>P58392</t>
  </si>
  <si>
    <t>P58393</t>
  </si>
  <si>
    <t>P58394</t>
  </si>
  <si>
    <t>P58395</t>
  </si>
  <si>
    <t>P58396</t>
  </si>
  <si>
    <t>P58397</t>
  </si>
  <si>
    <t>P58399</t>
  </si>
  <si>
    <t>P58400</t>
  </si>
  <si>
    <t>P58401</t>
  </si>
  <si>
    <t>P58402</t>
  </si>
  <si>
    <t>P58403</t>
  </si>
  <si>
    <t>P58404</t>
  </si>
  <si>
    <t>P58405</t>
  </si>
  <si>
    <t>P58406</t>
  </si>
  <si>
    <t>P58407</t>
  </si>
  <si>
    <t>P58408</t>
  </si>
  <si>
    <t>P58409</t>
  </si>
  <si>
    <t>P58410</t>
  </si>
  <si>
    <t>P58411</t>
  </si>
  <si>
    <t>P58412</t>
  </si>
  <si>
    <t>P58413</t>
  </si>
  <si>
    <t>P58414</t>
  </si>
  <si>
    <t>P58415</t>
  </si>
  <si>
    <t>P58416</t>
  </si>
  <si>
    <t>P58417</t>
  </si>
  <si>
    <t>P58418</t>
  </si>
  <si>
    <t>P58425</t>
  </si>
  <si>
    <t>P58427</t>
  </si>
  <si>
    <t>P58428</t>
  </si>
  <si>
    <t>P58434</t>
  </si>
  <si>
    <t>P58435</t>
  </si>
  <si>
    <t>P58436</t>
  </si>
  <si>
    <t>P58441</t>
  </si>
  <si>
    <t>P58446</t>
  </si>
  <si>
    <t>P58447</t>
  </si>
  <si>
    <t>P58453</t>
  </si>
  <si>
    <t>P58454</t>
  </si>
  <si>
    <t>P58456</t>
  </si>
  <si>
    <t>P58459</t>
  </si>
  <si>
    <t>P58460</t>
  </si>
  <si>
    <t>P58464</t>
  </si>
  <si>
    <t>P58465</t>
  </si>
  <si>
    <t>P58467</t>
  </si>
  <si>
    <t>P58468</t>
  </si>
  <si>
    <t>P58469</t>
  </si>
  <si>
    <t>P58470</t>
  </si>
  <si>
    <t>P58474</t>
  </si>
  <si>
    <t>P58478</t>
  </si>
  <si>
    <t>P58479</t>
  </si>
  <si>
    <t>P58480</t>
  </si>
  <si>
    <t>P58481</t>
  </si>
  <si>
    <t>P58482</t>
  </si>
  <si>
    <t>P58483</t>
  </si>
  <si>
    <t>P58484</t>
  </si>
  <si>
    <t>P58485</t>
  </si>
  <si>
    <t>P58486</t>
  </si>
  <si>
    <t>P58487</t>
  </si>
  <si>
    <t>P58488</t>
  </si>
  <si>
    <t>P58489</t>
  </si>
  <si>
    <t>P58490</t>
  </si>
  <si>
    <t>P58491</t>
  </si>
  <si>
    <t>P58492</t>
  </si>
  <si>
    <t>P58493</t>
  </si>
  <si>
    <t>P58494</t>
  </si>
  <si>
    <t>P58496</t>
  </si>
  <si>
    <t>P58497</t>
  </si>
  <si>
    <t>P58498</t>
  </si>
  <si>
    <t>P58500</t>
  </si>
  <si>
    <t>P58501</t>
  </si>
  <si>
    <t>P58502</t>
  </si>
  <si>
    <t>P58503</t>
  </si>
  <si>
    <t>P58504</t>
  </si>
  <si>
    <t>P58505</t>
  </si>
  <si>
    <t>P58506</t>
  </si>
  <si>
    <t>P58507</t>
  </si>
  <si>
    <t>P58508</t>
  </si>
  <si>
    <t>P58509</t>
  </si>
  <si>
    <t>P58510</t>
  </si>
  <si>
    <t>P58511</t>
  </si>
  <si>
    <t>P58513</t>
  </si>
  <si>
    <t>P58514</t>
  </si>
  <si>
    <t>P58515</t>
  </si>
  <si>
    <t>P58516</t>
  </si>
  <si>
    <t>P58517</t>
  </si>
  <si>
    <t>P58518</t>
  </si>
  <si>
    <t>P58519</t>
  </si>
  <si>
    <t>P58520</t>
  </si>
  <si>
    <t>P58522</t>
  </si>
  <si>
    <t>P58523</t>
  </si>
  <si>
    <t>P58535</t>
  </si>
  <si>
    <t>P58537</t>
  </si>
  <si>
    <t>P58538</t>
  </si>
  <si>
    <t>P58539</t>
  </si>
  <si>
    <t>P58540</t>
  </si>
  <si>
    <t>P58541</t>
  </si>
  <si>
    <t>P58542</t>
  </si>
  <si>
    <t>P58543</t>
  </si>
  <si>
    <t>P58544</t>
  </si>
  <si>
    <t>P58545</t>
  </si>
  <si>
    <t>P58546</t>
  </si>
  <si>
    <t>P58547</t>
  </si>
  <si>
    <t>P58548</t>
  </si>
  <si>
    <t>P58549</t>
  </si>
  <si>
    <t>P58550</t>
  </si>
  <si>
    <t>P58551</t>
  </si>
  <si>
    <t>P58552</t>
  </si>
  <si>
    <t>P58553</t>
  </si>
  <si>
    <t>P58554</t>
  </si>
  <si>
    <t>P58555</t>
  </si>
  <si>
    <t>P58556</t>
  </si>
  <si>
    <t>P58557</t>
  </si>
  <si>
    <t>P58558</t>
  </si>
  <si>
    <t>P58559</t>
  </si>
  <si>
    <t>P58560</t>
  </si>
  <si>
    <t>P58561</t>
  </si>
  <si>
    <t>P58562</t>
  </si>
  <si>
    <t>P58563</t>
  </si>
  <si>
    <t>P58564</t>
  </si>
  <si>
    <t>P58565</t>
  </si>
  <si>
    <t>P58566</t>
  </si>
  <si>
    <t>P58567</t>
  </si>
  <si>
    <t>P58568</t>
  </si>
  <si>
    <t>P58569</t>
  </si>
  <si>
    <t>P58570</t>
  </si>
  <si>
    <t>P58571</t>
  </si>
  <si>
    <t>P58572</t>
  </si>
  <si>
    <t>P58574</t>
  </si>
  <si>
    <t>P58575</t>
  </si>
  <si>
    <t>P58576</t>
  </si>
  <si>
    <t>P58580</t>
  </si>
  <si>
    <t>P58582</t>
  </si>
  <si>
    <t>P58583</t>
  </si>
  <si>
    <t>P58585</t>
  </si>
  <si>
    <t>P58586</t>
  </si>
  <si>
    <t>P58587</t>
  </si>
  <si>
    <t>P58588</t>
  </si>
  <si>
    <t>P58589</t>
  </si>
  <si>
    <t>P58590</t>
  </si>
  <si>
    <t>P58593</t>
  </si>
  <si>
    <t>P58594</t>
  </si>
  <si>
    <t>P58595</t>
  </si>
  <si>
    <t>P58596</t>
  </si>
  <si>
    <t>P58597</t>
  </si>
  <si>
    <t>P58598</t>
  </si>
  <si>
    <t>P58605</t>
  </si>
  <si>
    <t>P58610</t>
  </si>
  <si>
    <t>P58611</t>
  </si>
  <si>
    <t>P58612</t>
  </si>
  <si>
    <t>P58613</t>
  </si>
  <si>
    <t>P58616</t>
  </si>
  <si>
    <t>P58618</t>
  </si>
  <si>
    <t>P58619</t>
  </si>
  <si>
    <t>P58620</t>
  </si>
  <si>
    <t>P58629</t>
  </si>
  <si>
    <t>P58630</t>
  </si>
  <si>
    <t>P58631</t>
  </si>
  <si>
    <t>P58632</t>
  </si>
  <si>
    <t>P58633</t>
  </si>
  <si>
    <t>P58634</t>
  </si>
  <si>
    <t>P58635</t>
  </si>
  <si>
    <t>P58636</t>
  </si>
  <si>
    <t>P58637</t>
  </si>
  <si>
    <t>P58638</t>
  </si>
  <si>
    <t>P58639</t>
  </si>
  <si>
    <t>P58640</t>
  </si>
  <si>
    <t>P58641</t>
  </si>
  <si>
    <t>P58642</t>
  </si>
  <si>
    <t>P58650</t>
  </si>
  <si>
    <t>P58651</t>
  </si>
  <si>
    <t>P58652</t>
  </si>
  <si>
    <t>P58657</t>
  </si>
  <si>
    <t>P58658</t>
  </si>
  <si>
    <t>P58659</t>
  </si>
  <si>
    <t>P58660</t>
  </si>
  <si>
    <t>P58661</t>
  </si>
  <si>
    <t>P58663</t>
  </si>
  <si>
    <t>P58665</t>
  </si>
  <si>
    <t>P58666</t>
  </si>
  <si>
    <t>P58667</t>
  </si>
  <si>
    <t>P58668</t>
  </si>
  <si>
    <t>P58669</t>
  </si>
  <si>
    <t>P58671</t>
  </si>
  <si>
    <t>P58672</t>
  </si>
  <si>
    <t>P58675</t>
  </si>
  <si>
    <t>P58680</t>
  </si>
  <si>
    <t>P58681</t>
  </si>
  <si>
    <t>P58682</t>
  </si>
  <si>
    <t>P58683</t>
  </si>
  <si>
    <t>P58684</t>
  </si>
  <si>
    <t>P58697</t>
  </si>
  <si>
    <t>P58698</t>
  </si>
  <si>
    <t>P58700</t>
  </si>
  <si>
    <t>P58702</t>
  </si>
  <si>
    <t>P58703</t>
  </si>
  <si>
    <t>P58704</t>
  </si>
  <si>
    <t>P58705</t>
  </si>
  <si>
    <t>P58706</t>
  </si>
  <si>
    <t>P58709</t>
  </si>
  <si>
    <t>P58710</t>
  </si>
  <si>
    <t>P58711</t>
  </si>
  <si>
    <t>P58712</t>
  </si>
  <si>
    <t>P58713</t>
  </si>
  <si>
    <t>P58714</t>
  </si>
  <si>
    <t>P58715</t>
  </si>
  <si>
    <t>P58716</t>
  </si>
  <si>
    <t>P58717</t>
  </si>
  <si>
    <t>P58718</t>
  </si>
  <si>
    <t>P58719</t>
  </si>
  <si>
    <t>P58720</t>
  </si>
  <si>
    <t>P58721</t>
  </si>
  <si>
    <t>P58723</t>
  </si>
  <si>
    <t>P58725</t>
  </si>
  <si>
    <t>P58730</t>
  </si>
  <si>
    <t>P58731</t>
  </si>
  <si>
    <t>P58732</t>
  </si>
  <si>
    <t>P58733</t>
  </si>
  <si>
    <t>P58734</t>
  </si>
  <si>
    <t>P58735</t>
  </si>
  <si>
    <t>P58736</t>
  </si>
  <si>
    <t>P58737</t>
  </si>
  <si>
    <t>P58738</t>
  </si>
  <si>
    <t>P58739</t>
  </si>
  <si>
    <t>P58740</t>
  </si>
  <si>
    <t>P58741</t>
  </si>
  <si>
    <t>P58742</t>
  </si>
  <si>
    <t>P58743</t>
  </si>
  <si>
    <t>P58745</t>
  </si>
  <si>
    <t>P58746</t>
  </si>
  <si>
    <t>P58747</t>
  </si>
  <si>
    <t>P58748</t>
  </si>
  <si>
    <t>P58749</t>
  </si>
  <si>
    <t>P58750</t>
  </si>
  <si>
    <t>P58751</t>
  </si>
  <si>
    <t>P58755</t>
  </si>
  <si>
    <t>P58756</t>
  </si>
  <si>
    <t>P58757</t>
  </si>
  <si>
    <t>P58758</t>
  </si>
  <si>
    <t>P58761</t>
  </si>
  <si>
    <t>P58763</t>
  </si>
  <si>
    <t>P58764</t>
  </si>
  <si>
    <t>P58766</t>
  </si>
  <si>
    <t>P58767</t>
  </si>
  <si>
    <t>P58768</t>
  </si>
  <si>
    <t>P58769</t>
  </si>
  <si>
    <t>P58770</t>
  </si>
  <si>
    <t>P58771</t>
  </si>
  <si>
    <t>P58772</t>
  </si>
  <si>
    <t>P58773</t>
  </si>
  <si>
    <t>P58774</t>
  </si>
  <si>
    <t>P58775</t>
  </si>
  <si>
    <t>P58776</t>
  </si>
  <si>
    <t>P58777</t>
  </si>
  <si>
    <t>P58778</t>
  </si>
  <si>
    <t>P58780</t>
  </si>
  <si>
    <t>P58781</t>
  </si>
  <si>
    <t>P58782</t>
  </si>
  <si>
    <t>P58785</t>
  </si>
  <si>
    <t>P58786</t>
  </si>
  <si>
    <t>P58789</t>
  </si>
  <si>
    <t>P58790</t>
  </si>
  <si>
    <t>P58793</t>
  </si>
  <si>
    <t>P58794</t>
  </si>
  <si>
    <t>P58795</t>
  </si>
  <si>
    <t>P58798</t>
  </si>
  <si>
    <t>P58799</t>
  </si>
  <si>
    <t>P58800</t>
  </si>
  <si>
    <t>P58801</t>
  </si>
  <si>
    <t>P58802</t>
  </si>
  <si>
    <t>P58803</t>
  </si>
  <si>
    <t>P58804</t>
  </si>
  <si>
    <t>P58805</t>
  </si>
  <si>
    <t>P58807</t>
  </si>
  <si>
    <t>P58808</t>
  </si>
  <si>
    <t>P58809</t>
  </si>
  <si>
    <t>P58810</t>
  </si>
  <si>
    <t>P58811</t>
  </si>
  <si>
    <t>P58812</t>
  </si>
  <si>
    <t>P58813</t>
  </si>
  <si>
    <t>P58814</t>
  </si>
  <si>
    <t>P58816</t>
  </si>
  <si>
    <t>P58817</t>
  </si>
  <si>
    <t>P58818</t>
  </si>
  <si>
    <t>P58819</t>
  </si>
  <si>
    <t>P58820</t>
  </si>
  <si>
    <t>P58821</t>
  </si>
  <si>
    <t>P58822</t>
  </si>
  <si>
    <t>P58823</t>
  </si>
  <si>
    <t>P58824</t>
  </si>
  <si>
    <t>P58826</t>
  </si>
  <si>
    <t>P58827</t>
  </si>
  <si>
    <t>P58829</t>
  </si>
  <si>
    <t>P58830</t>
  </si>
  <si>
    <t>P58831</t>
  </si>
  <si>
    <t>P58832</t>
  </si>
  <si>
    <t>P58833</t>
  </si>
  <si>
    <t>P58834</t>
  </si>
  <si>
    <t>P58835</t>
  </si>
  <si>
    <t>P58836</t>
  </si>
  <si>
    <t>P58837</t>
  </si>
  <si>
    <t>P58842</t>
  </si>
  <si>
    <t>P58843</t>
  </si>
  <si>
    <t>P58844</t>
  </si>
  <si>
    <t>P58845</t>
  </si>
  <si>
    <t>P58847</t>
  </si>
  <si>
    <t>P58848</t>
  </si>
  <si>
    <t>P58849</t>
  </si>
  <si>
    <t>P58850</t>
  </si>
  <si>
    <t>P58853</t>
  </si>
  <si>
    <t>P58854</t>
  </si>
  <si>
    <t>P58855</t>
  </si>
  <si>
    <t>P58865</t>
  </si>
  <si>
    <t>P58869</t>
  </si>
  <si>
    <t>P58877</t>
  </si>
  <si>
    <t>P58880</t>
  </si>
  <si>
    <t>P58891</t>
  </si>
  <si>
    <t>P58895</t>
  </si>
  <si>
    <t>P58897</t>
  </si>
  <si>
    <t>P58900</t>
  </si>
  <si>
    <t>P58901</t>
  </si>
  <si>
    <t>P58902</t>
  </si>
  <si>
    <t>P58904</t>
  </si>
  <si>
    <t>P58909</t>
  </si>
  <si>
    <t>P58910</t>
  </si>
  <si>
    <t>P58911</t>
  </si>
  <si>
    <t>P58913</t>
  </si>
  <si>
    <t>P58914</t>
  </si>
  <si>
    <t>P58915</t>
  </si>
  <si>
    <t>P58918</t>
  </si>
  <si>
    <t>P58919</t>
  </si>
  <si>
    <t>P58920</t>
  </si>
  <si>
    <t>P58921</t>
  </si>
  <si>
    <t>P58922</t>
  </si>
  <si>
    <t>P58923</t>
  </si>
  <si>
    <t>P58924</t>
  </si>
  <si>
    <t>P58925</t>
  </si>
  <si>
    <t>P58926</t>
  </si>
  <si>
    <t>P58927</t>
  </si>
  <si>
    <t>P58928</t>
  </si>
  <si>
    <t>P58929</t>
  </si>
  <si>
    <t>P58930</t>
  </si>
  <si>
    <t>P58931</t>
  </si>
  <si>
    <t>P58932</t>
  </si>
  <si>
    <t>P58933</t>
  </si>
  <si>
    <t>P58934</t>
  </si>
  <si>
    <t>P58935</t>
  </si>
  <si>
    <t>P58936</t>
  </si>
  <si>
    <t>P58937</t>
  </si>
  <si>
    <t>P58938</t>
  </si>
  <si>
    <t>P58939</t>
  </si>
  <si>
    <t>P58940</t>
  </si>
  <si>
    <t>P58941</t>
  </si>
  <si>
    <t>P58942</t>
  </si>
  <si>
    <t>P58943</t>
  </si>
  <si>
    <t>P58944</t>
  </si>
  <si>
    <t>P58945</t>
  </si>
  <si>
    <t>P58946</t>
  </si>
  <si>
    <t>P58947</t>
  </si>
  <si>
    <t>P58948</t>
  </si>
  <si>
    <t>P58949</t>
  </si>
  <si>
    <t>P58950</t>
  </si>
  <si>
    <t>P58951</t>
  </si>
  <si>
    <t>P58952</t>
  </si>
  <si>
    <t>P58953</t>
  </si>
  <si>
    <t>P58954</t>
  </si>
  <si>
    <t>P58955</t>
  </si>
  <si>
    <t>P58956</t>
  </si>
  <si>
    <t>P58957</t>
  </si>
  <si>
    <t>P58958</t>
  </si>
  <si>
    <t>P58959</t>
  </si>
  <si>
    <t>P58960</t>
  </si>
  <si>
    <t>P58962</t>
  </si>
  <si>
    <t>P58963</t>
  </si>
  <si>
    <t>P58964</t>
  </si>
  <si>
    <t>P58965</t>
  </si>
  <si>
    <t>P58966</t>
  </si>
  <si>
    <t>P58967</t>
  </si>
  <si>
    <t>P58968</t>
  </si>
  <si>
    <t>P58969</t>
  </si>
  <si>
    <t>P58970</t>
  </si>
  <si>
    <t>P58971</t>
  </si>
  <si>
    <t>P58972</t>
  </si>
  <si>
    <t>P58973</t>
  </si>
  <si>
    <t>P58974</t>
  </si>
  <si>
    <t>P58975</t>
  </si>
  <si>
    <t>P58976</t>
  </si>
  <si>
    <t>P58977</t>
  </si>
  <si>
    <t>P58978</t>
  </si>
  <si>
    <t>P58979</t>
  </si>
  <si>
    <t>P58980</t>
  </si>
  <si>
    <t>P58981</t>
  </si>
  <si>
    <t>P58983</t>
  </si>
  <si>
    <t>P58984</t>
  </si>
  <si>
    <t>P58985</t>
  </si>
  <si>
    <t>P58986</t>
  </si>
  <si>
    <t>P58987</t>
  </si>
  <si>
    <t>P58988</t>
  </si>
  <si>
    <t>P58989</t>
  </si>
  <si>
    <t>P58990</t>
  </si>
  <si>
    <t>P58991</t>
  </si>
  <si>
    <t>P58992</t>
  </si>
  <si>
    <t>P58993</t>
  </si>
  <si>
    <t>P58994</t>
  </si>
  <si>
    <t>P58995</t>
  </si>
  <si>
    <t>P58996</t>
  </si>
  <si>
    <t>P58997</t>
  </si>
  <si>
    <t>P58998</t>
  </si>
  <si>
    <t>P58999</t>
  </si>
  <si>
    <t>P59000</t>
  </si>
  <si>
    <t>P59001</t>
  </si>
  <si>
    <t>P59002</t>
  </si>
  <si>
    <t>P59003</t>
  </si>
  <si>
    <t>P59004</t>
  </si>
  <si>
    <t>P59005</t>
  </si>
  <si>
    <t>P59006</t>
  </si>
  <si>
    <t>P59008</t>
  </si>
  <si>
    <t>P59009</t>
  </si>
  <si>
    <t>P59010</t>
  </si>
  <si>
    <t>P59011</t>
  </si>
  <si>
    <t>P59012</t>
  </si>
  <si>
    <t>P59013</t>
  </si>
  <si>
    <t>P59014</t>
  </si>
  <si>
    <t>P59015</t>
  </si>
  <si>
    <t>P59016</t>
  </si>
  <si>
    <t>P59017</t>
  </si>
  <si>
    <t>P59018</t>
  </si>
  <si>
    <t>P59019</t>
  </si>
  <si>
    <t>P59020</t>
  </si>
  <si>
    <t>P59021</t>
  </si>
  <si>
    <t>P59022</t>
  </si>
  <si>
    <t>P59023</t>
  </si>
  <si>
    <t>P59024</t>
  </si>
  <si>
    <t>P59025</t>
  </si>
  <si>
    <t>P59026</t>
  </si>
  <si>
    <t>P59027</t>
  </si>
  <si>
    <t>P59028</t>
  </si>
  <si>
    <t>P59029</t>
  </si>
  <si>
    <t>P59030</t>
  </si>
  <si>
    <t>P59031</t>
  </si>
  <si>
    <t>P59032</t>
  </si>
  <si>
    <t>P59033</t>
  </si>
  <si>
    <t>P59034</t>
  </si>
  <si>
    <t>P59035</t>
  </si>
  <si>
    <t>P59036</t>
  </si>
  <si>
    <t>P59038</t>
  </si>
  <si>
    <t>P59039</t>
  </si>
  <si>
    <t>P59043</t>
  </si>
  <si>
    <t>P59047</t>
  </si>
  <si>
    <t>P59048</t>
  </si>
  <si>
    <t>P59073</t>
  </si>
  <si>
    <t>P59074</t>
  </si>
  <si>
    <t>P59075</t>
  </si>
  <si>
    <t>P59076</t>
  </si>
  <si>
    <t>P59105</t>
  </si>
  <si>
    <t>P59117</t>
  </si>
  <si>
    <t>P59119</t>
  </si>
  <si>
    <t>P59120</t>
  </si>
  <si>
    <t>P59121</t>
  </si>
  <si>
    <t>P59122</t>
  </si>
  <si>
    <t>P59123</t>
  </si>
  <si>
    <t>P59124</t>
  </si>
  <si>
    <t>P59125</t>
  </si>
  <si>
    <t>P59126</t>
  </si>
  <si>
    <t>P59127</t>
  </si>
  <si>
    <t>P59128</t>
  </si>
  <si>
    <t>P59129</t>
  </si>
  <si>
    <t>P59130</t>
  </si>
  <si>
    <t>P59131</t>
  </si>
  <si>
    <t>P59132</t>
  </si>
  <si>
    <t>P59133</t>
  </si>
  <si>
    <t>P59138</t>
  </si>
  <si>
    <t>P59139</t>
  </si>
  <si>
    <t>P59140</t>
  </si>
  <si>
    <t>P59147</t>
  </si>
  <si>
    <t>P59148</t>
  </si>
  <si>
    <t>P59149</t>
  </si>
  <si>
    <t>P59150</t>
  </si>
  <si>
    <t>P59151</t>
  </si>
  <si>
    <t>P59152</t>
  </si>
  <si>
    <t>P59153</t>
  </si>
  <si>
    <t>P59154</t>
  </si>
  <si>
    <t>P59155</t>
  </si>
  <si>
    <t>P59156</t>
  </si>
  <si>
    <t>P59157</t>
  </si>
  <si>
    <t>P59160</t>
  </si>
  <si>
    <t>P59161</t>
  </si>
  <si>
    <t>P59176</t>
  </si>
  <si>
    <t>P59179</t>
  </si>
  <si>
    <t>P59180</t>
  </si>
  <si>
    <t>P59184</t>
  </si>
  <si>
    <t>P59186</t>
  </si>
  <si>
    <t>P59187</t>
  </si>
  <si>
    <t>P59188</t>
  </si>
  <si>
    <t>P59189</t>
  </si>
  <si>
    <t>P59190</t>
  </si>
  <si>
    <t>P59191</t>
  </si>
  <si>
    <t>P59192</t>
  </si>
  <si>
    <t>P59193</t>
  </si>
  <si>
    <t>P59194</t>
  </si>
  <si>
    <t>P59195</t>
  </si>
  <si>
    <t>P59196</t>
  </si>
  <si>
    <t>P59197</t>
  </si>
  <si>
    <t>P59198</t>
  </si>
  <si>
    <t>P59199</t>
  </si>
  <si>
    <t>P59200</t>
  </si>
  <si>
    <t>P59201</t>
  </si>
  <si>
    <t>P59202</t>
  </si>
  <si>
    <t>P59203</t>
  </si>
  <si>
    <t>P59209</t>
  </si>
  <si>
    <t>P59211</t>
  </si>
  <si>
    <t>P59214</t>
  </si>
  <si>
    <t>P59217</t>
  </si>
  <si>
    <t>P59218</t>
  </si>
  <si>
    <t>P59219</t>
  </si>
  <si>
    <t>P59220</t>
  </si>
  <si>
    <t>P59221</t>
  </si>
  <si>
    <t>P59227</t>
  </si>
  <si>
    <t>P59228</t>
  </si>
  <si>
    <t>P59230</t>
  </si>
  <si>
    <t>P59231</t>
  </si>
  <si>
    <t>P59232</t>
  </si>
  <si>
    <t>P59237</t>
  </si>
  <si>
    <t>P59238</t>
  </si>
  <si>
    <t>P59240</t>
  </si>
  <si>
    <t>P59246</t>
  </si>
  <si>
    <t>P59247</t>
  </si>
  <si>
    <t>P59248</t>
  </si>
  <si>
    <t>P59251</t>
  </si>
  <si>
    <t>P59252</t>
  </si>
  <si>
    <t>P59253</t>
  </si>
  <si>
    <t>P59254</t>
  </si>
  <si>
    <t>P59255</t>
  </si>
  <si>
    <t>P59256</t>
  </si>
  <si>
    <t>P59258</t>
  </si>
  <si>
    <t>P59260</t>
  </si>
  <si>
    <t>P59261</t>
  </si>
  <si>
    <t>P59262</t>
  </si>
  <si>
    <t>P59263</t>
  </si>
  <si>
    <t>P59264</t>
  </si>
  <si>
    <t>P59265</t>
  </si>
  <si>
    <t>P59266</t>
  </si>
  <si>
    <t>P59267</t>
  </si>
  <si>
    <t>P59268</t>
  </si>
  <si>
    <t>P59269</t>
  </si>
  <si>
    <t>P59270</t>
  </si>
  <si>
    <t>Temp!R4C10:R1200C12</t>
  </si>
  <si>
    <t>Auto-Sampler Comp Time Flow</t>
  </si>
  <si>
    <t>ATF</t>
  </si>
  <si>
    <t>Composite Depth Integrated</t>
  </si>
  <si>
    <t>CDI</t>
  </si>
  <si>
    <t>Composite Site Int. Soil/Sed</t>
  </si>
  <si>
    <t>CSI</t>
  </si>
  <si>
    <t>Composite Width Integrated</t>
  </si>
  <si>
    <t>CWI</t>
  </si>
  <si>
    <t>FLOCCULATION</t>
  </si>
  <si>
    <t>FLOC</t>
  </si>
  <si>
    <t>Periphyton</t>
  </si>
  <si>
    <t>8.5SMA</t>
  </si>
  <si>
    <t>ALSNAIL</t>
  </si>
  <si>
    <t>BBCW</t>
  </si>
  <si>
    <t>EAAP</t>
  </si>
  <si>
    <t>ISTA2CS</t>
  </si>
  <si>
    <t>NICO</t>
  </si>
  <si>
    <t>PBCWS</t>
  </si>
  <si>
    <t>RFGW</t>
  </si>
  <si>
    <t>ST1WCELL4</t>
  </si>
  <si>
    <t>ST2G</t>
  </si>
  <si>
    <t>ST2M</t>
  </si>
  <si>
    <t>ST5M</t>
  </si>
  <si>
    <t>ST6M</t>
  </si>
  <si>
    <t>STA1WP</t>
  </si>
  <si>
    <t>TCEXP</t>
  </si>
  <si>
    <t>TRIB</t>
  </si>
  <si>
    <t>UVPILOT</t>
  </si>
  <si>
    <t>VANTORY</t>
  </si>
  <si>
    <t>360203</t>
  </si>
  <si>
    <t>YSI 556 MPS</t>
  </si>
  <si>
    <t>401322</t>
  </si>
  <si>
    <t>401323</t>
  </si>
  <si>
    <t>401434</t>
  </si>
  <si>
    <t>401435</t>
  </si>
  <si>
    <t>401436</t>
  </si>
  <si>
    <t>401438</t>
  </si>
  <si>
    <t>YSI 600XLM-S, 04J16068AE,SFWMD</t>
  </si>
  <si>
    <t>401666</t>
  </si>
  <si>
    <t>401667</t>
  </si>
  <si>
    <t>401668</t>
  </si>
  <si>
    <t>401669</t>
  </si>
  <si>
    <t>401670</t>
  </si>
  <si>
    <t>401817</t>
  </si>
  <si>
    <t>401818</t>
  </si>
  <si>
    <t>403015</t>
  </si>
  <si>
    <t>403642</t>
  </si>
  <si>
    <t>403815</t>
  </si>
  <si>
    <t>404253</t>
  </si>
  <si>
    <t>404254</t>
  </si>
  <si>
    <t>404255</t>
  </si>
  <si>
    <t>404494</t>
  </si>
  <si>
    <t>404652</t>
  </si>
  <si>
    <t>404653</t>
  </si>
  <si>
    <t>404656</t>
  </si>
  <si>
    <t>404826</t>
  </si>
  <si>
    <t>404827</t>
  </si>
  <si>
    <t>404828</t>
  </si>
  <si>
    <t>404829</t>
  </si>
  <si>
    <t>404830</t>
  </si>
  <si>
    <t>404831</t>
  </si>
  <si>
    <t>404832</t>
  </si>
  <si>
    <t>404833</t>
  </si>
  <si>
    <t>404834</t>
  </si>
  <si>
    <t>404838</t>
  </si>
  <si>
    <t>409435</t>
  </si>
  <si>
    <t>409437</t>
  </si>
  <si>
    <t>409438</t>
  </si>
  <si>
    <t>409439</t>
  </si>
  <si>
    <t>409440</t>
  </si>
  <si>
    <t>409441</t>
  </si>
  <si>
    <t>409442</t>
  </si>
  <si>
    <t>415489</t>
  </si>
  <si>
    <t>Hydrolab MS5, SN:02130058</t>
  </si>
  <si>
    <t>9G0177</t>
  </si>
  <si>
    <t>YSI 6600 SERIES SONDE</t>
  </si>
  <si>
    <t>CE600Q</t>
  </si>
  <si>
    <t>YSI600QS02_SN_06E1675 AB</t>
  </si>
  <si>
    <t>E44854</t>
  </si>
  <si>
    <t>YSI 600XLM-O Sonde</t>
  </si>
  <si>
    <t>E50203</t>
  </si>
  <si>
    <t>EWC85D</t>
  </si>
  <si>
    <t>YSI85D_SN_04D6654 AE</t>
  </si>
  <si>
    <t>QT0941</t>
  </si>
  <si>
    <t>Hodrolab Quanta Sonde</t>
  </si>
  <si>
    <t>R005</t>
  </si>
  <si>
    <t>IC#1</t>
  </si>
  <si>
    <t>IC/ICV LOC</t>
  </si>
  <si>
    <t>IC#2</t>
  </si>
  <si>
    <t>ICV#1</t>
  </si>
  <si>
    <t>IC#3</t>
  </si>
  <si>
    <t>CCV#1</t>
  </si>
  <si>
    <t>CCV LOC</t>
  </si>
  <si>
    <t>CCV#2</t>
  </si>
  <si>
    <t>4-No Recorded Flow</t>
  </si>
  <si>
    <t>CXI,DRY,ELC,G,GB,GP,HAL,MAN,NET,TRP,UNK,WET,ACF,ACT,ADF,ADT,ATF,BLK,CDI,CIC,CSI,CWI,CXC</t>
  </si>
  <si>
    <r>
      <t>CXI,</t>
    </r>
    <r>
      <rPr>
        <sz val="8"/>
        <rFont val="Arial"/>
        <family val="2"/>
      </rPr>
      <t>ELC,G,GB,GP,HAL,MAN,NET,TRP,UNK,</t>
    </r>
    <r>
      <rPr>
        <sz val="8"/>
        <rFont val="Arial"/>
        <family val="2"/>
      </rPr>
      <t>BLK,CDI,CIC,CSI,CWI,CXC</t>
    </r>
  </si>
  <si>
    <t>CXI,DRY,ELC,FP,G,GB,GP,HAL,MAN,UNK,WET,ACF,ACT,ADF,ADT,ATF,BLK,CDI,CIC,CSI,CWI,CXC</t>
  </si>
  <si>
    <t>CXI,DRY,ELC,G,GB,GP,HAL,MAN,NET,TRP,UNK,WET,BLK,CDI,CIC,CSI,CWI,CXC</t>
  </si>
  <si>
    <t>Err!</t>
  </si>
  <si>
    <t>ICV#1 (QC-COND)</t>
  </si>
  <si>
    <t>IC#3 (QC-PH)</t>
  </si>
  <si>
    <t>Missing!</t>
  </si>
  <si>
    <t>Missing</t>
  </si>
  <si>
    <t>CXI,DRY,ELC,G,GB,GP,HAL,MAN,NET,TRP,UNK,BLK,CDI,CIC,CSI,CWI,CXC</t>
  </si>
  <si>
    <t>CXI,DRY,ELC,FP,G,GB,GP,HAL,MAN,NET,TRP,UNK,BLK,CDI,CIC,CSI,CWI,CXC</t>
  </si>
  <si>
    <t>#-5&gt;&lt;45</t>
  </si>
  <si>
    <t>TD</t>
  </si>
  <si>
    <t>E36924</t>
  </si>
  <si>
    <t>P76532</t>
  </si>
  <si>
    <t>P76533</t>
  </si>
  <si>
    <t>P76534</t>
  </si>
  <si>
    <t>P76535</t>
  </si>
  <si>
    <t>P76536</t>
  </si>
  <si>
    <t>P76537</t>
  </si>
  <si>
    <t>P76538</t>
  </si>
  <si>
    <t>P76539</t>
  </si>
  <si>
    <t>P76540</t>
  </si>
  <si>
    <t>P76541</t>
  </si>
  <si>
    <t>P76542</t>
  </si>
  <si>
    <t>P76543</t>
  </si>
  <si>
    <t>P76544</t>
  </si>
  <si>
    <t>P76545</t>
  </si>
  <si>
    <t>P76546</t>
  </si>
  <si>
    <t>P76547</t>
  </si>
  <si>
    <t>P76548</t>
  </si>
  <si>
    <t>P76549</t>
  </si>
  <si>
    <t>P76550</t>
  </si>
  <si>
    <t>P76551</t>
  </si>
  <si>
    <t>P76552</t>
  </si>
  <si>
    <t>P76553</t>
  </si>
  <si>
    <t>P76554</t>
  </si>
  <si>
    <t>P76555</t>
  </si>
  <si>
    <t>P76556</t>
  </si>
  <si>
    <t>P76557</t>
  </si>
  <si>
    <t>P76558</t>
  </si>
  <si>
    <t>P76559</t>
  </si>
  <si>
    <t>P76560</t>
  </si>
  <si>
    <t>P76562</t>
  </si>
  <si>
    <t>P76563</t>
  </si>
  <si>
    <t>#10&gt;&lt;35</t>
  </si>
  <si>
    <t>Coffelt, Greg L</t>
  </si>
  <si>
    <t>GLC</t>
  </si>
  <si>
    <t>DH</t>
  </si>
  <si>
    <t>MJ</t>
  </si>
  <si>
    <t>JM</t>
  </si>
  <si>
    <t>7C1391</t>
  </si>
  <si>
    <t>YSI 600XL-Model 600XL-B-M FIU</t>
  </si>
  <si>
    <t>limsp</t>
  </si>
  <si>
    <t>Abdo, Dianna R.</t>
  </si>
  <si>
    <t>DRA</t>
  </si>
  <si>
    <t xml:space="preserve">Abrahams, Shawn </t>
  </si>
  <si>
    <t xml:space="preserve">Allen, Joe </t>
  </si>
  <si>
    <t xml:space="preserve">Ayres, Eleanor </t>
  </si>
  <si>
    <t>EA</t>
  </si>
  <si>
    <t>Baerren, Albert J.</t>
  </si>
  <si>
    <t>AJB</t>
  </si>
  <si>
    <t xml:space="preserve">Bauman, Laura </t>
  </si>
  <si>
    <t>LB</t>
  </si>
  <si>
    <t xml:space="preserve">Bedregal, Carmela </t>
  </si>
  <si>
    <t xml:space="preserve">Bender, Coleman </t>
  </si>
  <si>
    <t>Bergmann, Ann Marie</t>
  </si>
  <si>
    <t>AMB</t>
  </si>
  <si>
    <t>Bisping, Scott M.</t>
  </si>
  <si>
    <t>Breslin, Michael B.</t>
  </si>
  <si>
    <t>MBB</t>
  </si>
  <si>
    <t>CAULK</t>
  </si>
  <si>
    <t xml:space="preserve">Carlson, Eric </t>
  </si>
  <si>
    <t>EC</t>
  </si>
  <si>
    <t xml:space="preserve">Choi, Jay </t>
  </si>
  <si>
    <t xml:space="preserve">Coley, Teresa </t>
  </si>
  <si>
    <t>Collins, Mark (Ben)</t>
  </si>
  <si>
    <t>M(C</t>
  </si>
  <si>
    <t>Crawford, Eric S.</t>
  </si>
  <si>
    <t>ESC</t>
  </si>
  <si>
    <t xml:space="preserve">Cruz, Marcella </t>
  </si>
  <si>
    <t xml:space="preserve">Cummins, Cassandra </t>
  </si>
  <si>
    <t xml:space="preserve">Davison, Thomas </t>
  </si>
  <si>
    <t xml:space="preserve">Decker, Michelle </t>
  </si>
  <si>
    <t xml:space="preserve">Demonstranti, David </t>
  </si>
  <si>
    <t xml:space="preserve">Denham, Geoffrey </t>
  </si>
  <si>
    <t>GD</t>
  </si>
  <si>
    <t xml:space="preserve">Diddle, Kamila </t>
  </si>
  <si>
    <t>KD</t>
  </si>
  <si>
    <t xml:space="preserve">Fetter, Ryan </t>
  </si>
  <si>
    <t>RF</t>
  </si>
  <si>
    <t>JG</t>
  </si>
  <si>
    <t>Geddes, Elizabeth T</t>
  </si>
  <si>
    <t>ETG</t>
  </si>
  <si>
    <t xml:space="preserve">Geisler, April </t>
  </si>
  <si>
    <t xml:space="preserve">Gravlin, Joshua </t>
  </si>
  <si>
    <t xml:space="preserve">Gronborg, Jeff </t>
  </si>
  <si>
    <t xml:space="preserve">Hahner, Jason </t>
  </si>
  <si>
    <t xml:space="preserve">Hansen, Chris </t>
  </si>
  <si>
    <t xml:space="preserve">Hanson, Claus </t>
  </si>
  <si>
    <t xml:space="preserve">Henry, Amy </t>
  </si>
  <si>
    <t xml:space="preserve">Herring, Keith </t>
  </si>
  <si>
    <t xml:space="preserve">Hire, David </t>
  </si>
  <si>
    <t xml:space="preserve">Hudgins, Ryan </t>
  </si>
  <si>
    <t xml:space="preserve">Huselid, Liz </t>
  </si>
  <si>
    <t xml:space="preserve">James, Tom </t>
  </si>
  <si>
    <t>TJ</t>
  </si>
  <si>
    <t xml:space="preserve">Jerauld, Mike </t>
  </si>
  <si>
    <t xml:space="preserve">Keel, Earl </t>
  </si>
  <si>
    <t>EK</t>
  </si>
  <si>
    <t xml:space="preserve">King, Jill </t>
  </si>
  <si>
    <t xml:space="preserve">LaPorte, Renee </t>
  </si>
  <si>
    <t>Lehmann, Nicholas D.</t>
  </si>
  <si>
    <t>NDL</t>
  </si>
  <si>
    <t xml:space="preserve">Lewis, Jennifer </t>
  </si>
  <si>
    <t xml:space="preserve">Maston, Jake </t>
  </si>
  <si>
    <t xml:space="preserve">Mattair, Amanda </t>
  </si>
  <si>
    <t xml:space="preserve">Miao, Shili </t>
  </si>
  <si>
    <t xml:space="preserve">Mullen, Kenneth </t>
  </si>
  <si>
    <t xml:space="preserve">Pascal, Susana </t>
  </si>
  <si>
    <t>SP</t>
  </si>
  <si>
    <t xml:space="preserve">Penia, Jesse </t>
  </si>
  <si>
    <t>JP</t>
  </si>
  <si>
    <t xml:space="preserve">Penkowski, Nicole </t>
  </si>
  <si>
    <t>NP</t>
  </si>
  <si>
    <t xml:space="preserve">Price, Mary </t>
  </si>
  <si>
    <t>MP</t>
  </si>
  <si>
    <t xml:space="preserve">Putnall, Reed </t>
  </si>
  <si>
    <t>RP</t>
  </si>
  <si>
    <t xml:space="preserve">Rosenaw, Geoffrey </t>
  </si>
  <si>
    <t xml:space="preserve">S.Telford, Randy </t>
  </si>
  <si>
    <t>STA1WSND</t>
  </si>
  <si>
    <t xml:space="preserve">Schworm, Amanda </t>
  </si>
  <si>
    <t xml:space="preserve">Sharfstein, Bruce </t>
  </si>
  <si>
    <t xml:space="preserve">Sierer, Dawn </t>
  </si>
  <si>
    <t xml:space="preserve">Skaggs, Cassandra </t>
  </si>
  <si>
    <t xml:space="preserve">Smith, Ryan </t>
  </si>
  <si>
    <t xml:space="preserve">Spritz, Samantha </t>
  </si>
  <si>
    <t xml:space="preserve">Stolee, Ryan </t>
  </si>
  <si>
    <t>Storrs, Jason S.</t>
  </si>
  <si>
    <t xml:space="preserve">Sullivan, Jamie </t>
  </si>
  <si>
    <t xml:space="preserve">Taylor, Scott </t>
  </si>
  <si>
    <t xml:space="preserve">Thomas, Cassondra </t>
  </si>
  <si>
    <t>CT</t>
  </si>
  <si>
    <t xml:space="preserve">Thrower, Joe </t>
  </si>
  <si>
    <t>JT</t>
  </si>
  <si>
    <t xml:space="preserve">Vaughn, Kristin </t>
  </si>
  <si>
    <t>KV</t>
  </si>
  <si>
    <t xml:space="preserve">Whalen, Benita </t>
  </si>
  <si>
    <t>BW</t>
  </si>
  <si>
    <t xml:space="preserve">Wilson, Ben </t>
  </si>
  <si>
    <t xml:space="preserve">Zweig, Christa </t>
  </si>
  <si>
    <t>CZ</t>
  </si>
  <si>
    <t>Core Sampling for SedimentSoil</t>
  </si>
  <si>
    <t>COR</t>
  </si>
  <si>
    <t>SFWMD 3170.1</t>
  </si>
  <si>
    <t>L9</t>
  </si>
  <si>
    <t>PSRP</t>
  </si>
  <si>
    <t>C111WF</t>
  </si>
  <si>
    <t>TC_PFLUX</t>
  </si>
  <si>
    <t>EXP1</t>
  </si>
  <si>
    <t>VEGPUP</t>
  </si>
  <si>
    <t>EAA298</t>
  </si>
  <si>
    <t>WEPAL</t>
  </si>
  <si>
    <t>FWSNAIL</t>
  </si>
  <si>
    <t>STA5_ST5R</t>
  </si>
  <si>
    <t>S357P</t>
  </si>
  <si>
    <t>REST</t>
  </si>
  <si>
    <t>NEWSPS</t>
  </si>
  <si>
    <t>C43WQTA</t>
  </si>
  <si>
    <t>YATES</t>
  </si>
  <si>
    <t>NEPES</t>
  </si>
  <si>
    <t>C43RES</t>
  </si>
  <si>
    <t>ERAPT</t>
  </si>
  <si>
    <t>CATTAIL</t>
  </si>
  <si>
    <t>FRED</t>
  </si>
  <si>
    <t>MYCO</t>
  </si>
  <si>
    <t>GW_CL</t>
  </si>
  <si>
    <t>STA1WEXPCU</t>
  </si>
  <si>
    <t>STA2INT</t>
  </si>
  <si>
    <t>DLL</t>
  </si>
  <si>
    <t>C111SC</t>
  </si>
  <si>
    <t>A1FEB</t>
  </si>
  <si>
    <t>WRPP</t>
  </si>
  <si>
    <t>LBG</t>
  </si>
  <si>
    <t>AMI</t>
  </si>
  <si>
    <t>PS_CL</t>
  </si>
  <si>
    <t>IMWID</t>
  </si>
  <si>
    <t>STA1WEXP</t>
  </si>
  <si>
    <t>STA1E4S</t>
  </si>
  <si>
    <t>PFLUX</t>
  </si>
  <si>
    <t>S356FT</t>
  </si>
  <si>
    <t>LMS</t>
  </si>
  <si>
    <t>SGPC</t>
  </si>
  <si>
    <t>S155COR</t>
  </si>
  <si>
    <t>TRIAL_PFLUX</t>
  </si>
  <si>
    <t>MGTZ</t>
  </si>
  <si>
    <t>LOWMTS</t>
  </si>
  <si>
    <t>L8FEB</t>
  </si>
  <si>
    <t>HAB</t>
  </si>
  <si>
    <t>CREW</t>
  </si>
  <si>
    <t>C23CUS</t>
  </si>
  <si>
    <t>PBAU</t>
  </si>
  <si>
    <t>WFPP</t>
  </si>
  <si>
    <t>400983</t>
  </si>
  <si>
    <t>400984</t>
  </si>
  <si>
    <t>YSI 600XLM, SFWMD, SN:05E2760A</t>
  </si>
  <si>
    <t>401437</t>
  </si>
  <si>
    <t>410497</t>
  </si>
  <si>
    <t xml:space="preserve">YSI 600XL, SFWMD, SN:07J10281	</t>
  </si>
  <si>
    <t>415642</t>
  </si>
  <si>
    <t>YSI 600XL-B-O 13E101579</t>
  </si>
  <si>
    <t>415643</t>
  </si>
  <si>
    <t>YSI 600XL-B-O 13E101578</t>
  </si>
  <si>
    <t>415934</t>
  </si>
  <si>
    <t>Compact DS5</t>
  </si>
  <si>
    <t>415935</t>
  </si>
  <si>
    <t>415955</t>
  </si>
  <si>
    <t>YSI 600XLM-M SN:14B104318</t>
  </si>
  <si>
    <t>416322</t>
  </si>
  <si>
    <t>Hydrolab MS5, SN:032415A</t>
  </si>
  <si>
    <t>416381</t>
  </si>
  <si>
    <t>YSI ProDSS SFWMD SN:15C105150</t>
  </si>
  <si>
    <t>416384</t>
  </si>
  <si>
    <t>YSI ProDSS SFWMD SN:15C105149</t>
  </si>
  <si>
    <t>416388</t>
  </si>
  <si>
    <t>YSI ProDSS SFWMD SN:15C105148</t>
  </si>
  <si>
    <t>416390</t>
  </si>
  <si>
    <t>YSI ProDSS SFWMD SN:15C105147</t>
  </si>
  <si>
    <t>416392</t>
  </si>
  <si>
    <t>YSI ProDSS SFWMD SN:15C105146</t>
  </si>
  <si>
    <t>416394</t>
  </si>
  <si>
    <t>YSI ProDSS SFWMD SN:15C105143</t>
  </si>
  <si>
    <t>416396</t>
  </si>
  <si>
    <t>YSI ProDSS SFWMD SN:15C105144</t>
  </si>
  <si>
    <t>416398</t>
  </si>
  <si>
    <t>YSI ProDSS SFWMD SN:15C105145</t>
  </si>
  <si>
    <t>416400</t>
  </si>
  <si>
    <t>YSI ProDSS SFWMD SN:15C101572</t>
  </si>
  <si>
    <t>416459</t>
  </si>
  <si>
    <t>HydroLabCompact MS5 SN:070915A</t>
  </si>
  <si>
    <t>A0636</t>
  </si>
  <si>
    <t>YSI 600XL, SFWMD, SN:00A0636AA</t>
  </si>
  <si>
    <t>H0385</t>
  </si>
  <si>
    <t>YSI 600XL, SFWMD, SN:00H0385AB</t>
  </si>
  <si>
    <t xml:space="preserve">FIU-Hach Quanta Sonde-Qt05430	</t>
  </si>
  <si>
    <t xml:space="preserve">Marquez, Joe </t>
  </si>
  <si>
    <t xml:space="preserve">Standen, Emily </t>
  </si>
  <si>
    <t>TPO4</t>
  </si>
  <si>
    <t xml:space="preserve">Burton, Kelly </t>
  </si>
  <si>
    <t xml:space="preserve">Dallas, Sean </t>
  </si>
  <si>
    <t xml:space="preserve">Medina, Charlie </t>
  </si>
  <si>
    <t xml:space="preserve">Moran, Jennifer </t>
  </si>
  <si>
    <t xml:space="preserve">Paz, Alexandra </t>
  </si>
  <si>
    <t xml:space="preserve">Polo, Marc </t>
  </si>
  <si>
    <t xml:space="preserve">Raitter, William </t>
  </si>
  <si>
    <t>WR</t>
  </si>
  <si>
    <t>Westmark, Barry D.</t>
  </si>
  <si>
    <t>BDW</t>
  </si>
  <si>
    <t>STUDY6</t>
  </si>
  <si>
    <t>15F101</t>
  </si>
  <si>
    <t>YSI 15F101584 PBC ERM Pro DSS</t>
  </si>
  <si>
    <t xml:space="preserve">Baez, Carmen </t>
  </si>
  <si>
    <t xml:space="preserve">Blythe, Wayne </t>
  </si>
  <si>
    <t xml:space="preserve">Carman, Heather </t>
  </si>
  <si>
    <t>HC</t>
  </si>
  <si>
    <t xml:space="preserve">Fyfe, James </t>
  </si>
  <si>
    <t xml:space="preserve">Marshall, Jay </t>
  </si>
  <si>
    <t xml:space="preserve">Meiers, Damon </t>
  </si>
  <si>
    <t xml:space="preserve">Niemeyer, Nicole </t>
  </si>
  <si>
    <t>NN</t>
  </si>
  <si>
    <t xml:space="preserve">Stoddard, Daryl </t>
  </si>
  <si>
    <t xml:space="preserve">Bhomia, Rupesh </t>
  </si>
  <si>
    <t>CA</t>
  </si>
  <si>
    <t xml:space="preserve">Martinez, Francisco </t>
  </si>
  <si>
    <t xml:space="preserve">Mendoza, Michael </t>
  </si>
  <si>
    <t>MM2</t>
  </si>
  <si>
    <t xml:space="preserve">Ouellette, Shawn </t>
  </si>
  <si>
    <t xml:space="preserve">Sapusek, Curtis </t>
  </si>
  <si>
    <t>EBWCD</t>
  </si>
  <si>
    <t>PFLUX_UF</t>
  </si>
  <si>
    <t>WBC139</t>
  </si>
  <si>
    <t>Temp!R4C10:R300C12</t>
  </si>
  <si>
    <t>P81155</t>
  </si>
  <si>
    <t>P81174</t>
  </si>
  <si>
    <t>P81175</t>
  </si>
  <si>
    <t>P81176</t>
  </si>
  <si>
    <t>P81177</t>
  </si>
  <si>
    <t>P81178</t>
  </si>
  <si>
    <t>P81180</t>
  </si>
  <si>
    <t>P81181</t>
  </si>
  <si>
    <t>P81182</t>
  </si>
  <si>
    <t>P81183</t>
  </si>
  <si>
    <t>P81186</t>
  </si>
  <si>
    <t>P81187</t>
  </si>
  <si>
    <t>P81188</t>
  </si>
  <si>
    <t>P81189</t>
  </si>
  <si>
    <t>P81190</t>
  </si>
  <si>
    <t>P81191</t>
  </si>
  <si>
    <t>P81192</t>
  </si>
  <si>
    <t>P81193</t>
  </si>
  <si>
    <t>P81194</t>
  </si>
  <si>
    <t>P81195</t>
  </si>
  <si>
    <t>P81196</t>
  </si>
  <si>
    <t>P81197</t>
  </si>
  <si>
    <t>P81199</t>
  </si>
  <si>
    <t>P81200</t>
  </si>
  <si>
    <t>P81201</t>
  </si>
  <si>
    <t>P81202</t>
  </si>
  <si>
    <t>P81203</t>
  </si>
  <si>
    <t>P81204</t>
  </si>
  <si>
    <t>P81205</t>
  </si>
  <si>
    <t>P81206</t>
  </si>
  <si>
    <t>P81208</t>
  </si>
  <si>
    <t>P81209</t>
  </si>
  <si>
    <t>P81210</t>
  </si>
  <si>
    <t>P81211</t>
  </si>
  <si>
    <t>P81212</t>
  </si>
  <si>
    <t>P81213</t>
  </si>
  <si>
    <t>P81214</t>
  </si>
  <si>
    <t>P81215</t>
  </si>
  <si>
    <t>3 WMD, NO COLLECTOR</t>
  </si>
  <si>
    <t>NC3</t>
  </si>
  <si>
    <t xml:space="preserve">Howard, Beth </t>
  </si>
  <si>
    <t>31123A</t>
  </si>
  <si>
    <t>YSI 556 S/N03A1123AG,TETRATECH</t>
  </si>
  <si>
    <t>P81230</t>
  </si>
  <si>
    <t>P81231</t>
  </si>
  <si>
    <t>P81233</t>
  </si>
  <si>
    <t>P81234</t>
  </si>
  <si>
    <t>P81236</t>
  </si>
  <si>
    <t>P81242</t>
  </si>
  <si>
    <t>P81245</t>
  </si>
  <si>
    <t>P81246</t>
  </si>
  <si>
    <t>P81247</t>
  </si>
  <si>
    <t>P81248</t>
  </si>
  <si>
    <t>P81251</t>
  </si>
  <si>
    <t>P81252</t>
  </si>
  <si>
    <t>P81253</t>
  </si>
  <si>
    <t>P81254</t>
  </si>
  <si>
    <t>P81255</t>
  </si>
  <si>
    <t>P81256</t>
  </si>
  <si>
    <t>P81258</t>
  </si>
  <si>
    <t>P81265</t>
  </si>
  <si>
    <t>P81266</t>
  </si>
  <si>
    <t>P81267</t>
  </si>
  <si>
    <t>P81268</t>
  </si>
  <si>
    <t>P81271</t>
  </si>
  <si>
    <t>P81272</t>
  </si>
  <si>
    <t>P81273</t>
  </si>
  <si>
    <t>P81274</t>
  </si>
  <si>
    <t>P81275</t>
  </si>
  <si>
    <t>P81276</t>
  </si>
  <si>
    <t>P81277</t>
  </si>
  <si>
    <t>P81278</t>
  </si>
  <si>
    <t>P81279</t>
  </si>
  <si>
    <t>P81280</t>
  </si>
  <si>
    <t>P81281</t>
  </si>
  <si>
    <t>P81282</t>
  </si>
  <si>
    <t>P81283</t>
  </si>
  <si>
    <t>P81284</t>
  </si>
  <si>
    <t>P81285</t>
  </si>
  <si>
    <t>P81286</t>
  </si>
  <si>
    <t>P81287</t>
  </si>
  <si>
    <t>P81289</t>
  </si>
  <si>
    <t>P81290</t>
  </si>
  <si>
    <t>P81291</t>
  </si>
  <si>
    <t>P81292</t>
  </si>
  <si>
    <t>P81295</t>
  </si>
  <si>
    <t>P81296</t>
  </si>
  <si>
    <t>P81297</t>
  </si>
  <si>
    <t>P81298</t>
  </si>
  <si>
    <t>P81299</t>
  </si>
  <si>
    <t>P81300</t>
  </si>
  <si>
    <t>P81301</t>
  </si>
  <si>
    <t>P81304</t>
  </si>
  <si>
    <t>P81305</t>
  </si>
  <si>
    <t>P81306</t>
  </si>
  <si>
    <t>P81308</t>
  </si>
  <si>
    <t>P81311</t>
  </si>
  <si>
    <t>P81312</t>
  </si>
  <si>
    <t>P81314</t>
  </si>
  <si>
    <t>P81316</t>
  </si>
  <si>
    <t>P81318</t>
  </si>
  <si>
    <t>P81319</t>
  </si>
  <si>
    <t>P81320</t>
  </si>
  <si>
    <t>P81321</t>
  </si>
  <si>
    <t>P81322</t>
  </si>
  <si>
    <t>P81323</t>
  </si>
  <si>
    <t>P81324</t>
  </si>
  <si>
    <t xml:space="preserve">Connors, Valerie </t>
  </si>
  <si>
    <t>VC</t>
  </si>
  <si>
    <t>0005</t>
  </si>
  <si>
    <t>P81328</t>
  </si>
  <si>
    <t>P81330</t>
  </si>
  <si>
    <t>P81332</t>
  </si>
  <si>
    <t>P81334</t>
  </si>
  <si>
    <t>P81335</t>
  </si>
  <si>
    <t>P81336</t>
  </si>
  <si>
    <t>P81337</t>
  </si>
  <si>
    <t>P81338</t>
  </si>
  <si>
    <t>P81339</t>
  </si>
  <si>
    <t>P81340</t>
  </si>
  <si>
    <t>P81341</t>
  </si>
  <si>
    <t>P81343</t>
  </si>
  <si>
    <t>P81344</t>
  </si>
  <si>
    <t>P81345</t>
  </si>
  <si>
    <t>P81354</t>
  </si>
  <si>
    <t>P81357</t>
  </si>
  <si>
    <t>P81358</t>
  </si>
  <si>
    <t>P81362</t>
  </si>
  <si>
    <t>P81364</t>
  </si>
  <si>
    <t>P81366</t>
  </si>
  <si>
    <t>P81381</t>
  </si>
  <si>
    <t>P81382</t>
  </si>
  <si>
    <t>P81383</t>
  </si>
  <si>
    <t>P81384</t>
  </si>
  <si>
    <t>P81385</t>
  </si>
  <si>
    <t>P81386</t>
  </si>
  <si>
    <t>P81387</t>
  </si>
  <si>
    <t>P81388</t>
  </si>
  <si>
    <t>P81389</t>
  </si>
  <si>
    <t>P81390</t>
  </si>
  <si>
    <t>P81391</t>
  </si>
  <si>
    <t>P81392</t>
  </si>
  <si>
    <t>P81393</t>
  </si>
  <si>
    <t>P81394</t>
  </si>
  <si>
    <t>P81395</t>
  </si>
  <si>
    <t>P81396</t>
  </si>
  <si>
    <t>P81397</t>
  </si>
  <si>
    <t>P81398</t>
  </si>
  <si>
    <t>P81399</t>
  </si>
  <si>
    <t>P81400</t>
  </si>
  <si>
    <t>P81401</t>
  </si>
  <si>
    <t>P81402</t>
  </si>
  <si>
    <t>P81403</t>
  </si>
  <si>
    <t>P81404</t>
  </si>
  <si>
    <t>P81405</t>
  </si>
  <si>
    <t>P81406</t>
  </si>
  <si>
    <t>P81407</t>
  </si>
  <si>
    <t>P81408</t>
  </si>
  <si>
    <t>P81409</t>
  </si>
  <si>
    <t>P81410</t>
  </si>
  <si>
    <t>P81411</t>
  </si>
  <si>
    <t>P81412</t>
  </si>
  <si>
    <t>P81413</t>
  </si>
  <si>
    <t>P81414</t>
  </si>
  <si>
    <t>P81415</t>
  </si>
  <si>
    <t>P81416</t>
  </si>
  <si>
    <t>P81417</t>
  </si>
  <si>
    <t>P81418</t>
  </si>
  <si>
    <t>P81419</t>
  </si>
  <si>
    <t>P81420</t>
  </si>
  <si>
    <t>P81421</t>
  </si>
  <si>
    <t>P81422</t>
  </si>
  <si>
    <t>P81423</t>
  </si>
  <si>
    <t>IC/ICV#1 (QC-DO)</t>
  </si>
  <si>
    <t>Field Documentation Review By: _______________________________________________</t>
  </si>
  <si>
    <t>Samples Relinquished By: ___________________________________________________</t>
  </si>
  <si>
    <t>Login Documentation Review (initial)_________Date_________</t>
  </si>
  <si>
    <t>H2SO4 Lot#</t>
  </si>
  <si>
    <t>HNO3 Lot#</t>
  </si>
  <si>
    <t>Drops Sample/Blank</t>
  </si>
  <si>
    <t>P84036</t>
  </si>
  <si>
    <t>P84037</t>
  </si>
  <si>
    <t>P84038</t>
  </si>
  <si>
    <t>P84039</t>
  </si>
  <si>
    <t>P84040</t>
  </si>
  <si>
    <t>P84041</t>
  </si>
  <si>
    <t>P84042</t>
  </si>
  <si>
    <t>P84043</t>
  </si>
  <si>
    <t>P84044</t>
  </si>
  <si>
    <t>P84045</t>
  </si>
  <si>
    <t>P84046</t>
  </si>
  <si>
    <t>P84047</t>
  </si>
  <si>
    <t>P84049</t>
  </si>
  <si>
    <t>P84050</t>
  </si>
  <si>
    <t>P84051</t>
  </si>
  <si>
    <t>P84052</t>
  </si>
  <si>
    <t>P84053</t>
  </si>
  <si>
    <t>P84054</t>
  </si>
  <si>
    <t>P84055</t>
  </si>
  <si>
    <t>P84056</t>
  </si>
  <si>
    <t>P84057</t>
  </si>
  <si>
    <t>P84058</t>
  </si>
  <si>
    <t>P84059</t>
  </si>
  <si>
    <t>P84060</t>
  </si>
  <si>
    <t>P84061</t>
  </si>
  <si>
    <t>P84062</t>
  </si>
  <si>
    <t>P84063</t>
  </si>
  <si>
    <t>P84064</t>
  </si>
  <si>
    <t>P84065</t>
  </si>
  <si>
    <t>P84066</t>
  </si>
  <si>
    <t>P84067</t>
  </si>
  <si>
    <t>P84068</t>
  </si>
  <si>
    <t>P84069</t>
  </si>
  <si>
    <t>P84070</t>
  </si>
  <si>
    <t>P84071</t>
  </si>
  <si>
    <t>P84072</t>
  </si>
  <si>
    <t>P84073</t>
  </si>
  <si>
    <t>P84074</t>
  </si>
  <si>
    <t>P84075</t>
  </si>
  <si>
    <t>P84076</t>
  </si>
  <si>
    <t>P84077</t>
  </si>
  <si>
    <t>P84078</t>
  </si>
  <si>
    <t>P84079</t>
  </si>
  <si>
    <t>P84080</t>
  </si>
  <si>
    <t>P84081</t>
  </si>
  <si>
    <t>P84082</t>
  </si>
  <si>
    <t>P84083</t>
  </si>
  <si>
    <t>P84084</t>
  </si>
  <si>
    <t>P84085</t>
  </si>
  <si>
    <t>P84086</t>
  </si>
  <si>
    <t>P84087</t>
  </si>
  <si>
    <t>P84088</t>
  </si>
  <si>
    <t>P84089</t>
  </si>
  <si>
    <t>P84090</t>
  </si>
  <si>
    <t>P84091</t>
  </si>
  <si>
    <t>P84092</t>
  </si>
  <si>
    <t>P84093</t>
  </si>
  <si>
    <t>P84094</t>
  </si>
  <si>
    <t>P84095</t>
  </si>
  <si>
    <t>P84096</t>
  </si>
  <si>
    <t>P84097</t>
  </si>
  <si>
    <t>P84098</t>
  </si>
  <si>
    <t>P84099</t>
  </si>
  <si>
    <t>P84100</t>
  </si>
  <si>
    <t>P84101</t>
  </si>
  <si>
    <t>P84102</t>
  </si>
  <si>
    <t>P84103</t>
  </si>
  <si>
    <t>P84104</t>
  </si>
  <si>
    <t>P84105</t>
  </si>
  <si>
    <t>P84106</t>
  </si>
  <si>
    <t>P84113</t>
  </si>
  <si>
    <t>P84114</t>
  </si>
  <si>
    <t>P84116</t>
  </si>
  <si>
    <t>P84118</t>
  </si>
  <si>
    <t>P84119</t>
  </si>
  <si>
    <t>P84120</t>
  </si>
  <si>
    <t>P84121</t>
  </si>
  <si>
    <t>P84122</t>
  </si>
  <si>
    <t>P84123</t>
  </si>
  <si>
    <t>P84124</t>
  </si>
  <si>
    <t>P84125</t>
  </si>
  <si>
    <t>P84126</t>
  </si>
  <si>
    <t>P84127</t>
  </si>
  <si>
    <t>P84128</t>
  </si>
  <si>
    <t>P84129</t>
  </si>
  <si>
    <t>P84130</t>
  </si>
  <si>
    <t>P84131</t>
  </si>
  <si>
    <t>P84132</t>
  </si>
  <si>
    <t>P84133</t>
  </si>
  <si>
    <t>P84134</t>
  </si>
  <si>
    <t>P84135</t>
  </si>
  <si>
    <t>P84136</t>
  </si>
  <si>
    <t>P84137</t>
  </si>
  <si>
    <t>P84138</t>
  </si>
  <si>
    <t>P84139</t>
  </si>
  <si>
    <t>P84140</t>
  </si>
  <si>
    <t>P84141</t>
  </si>
  <si>
    <t>P84142</t>
  </si>
  <si>
    <t>P84143</t>
  </si>
  <si>
    <t>P84145</t>
  </si>
  <si>
    <t>P84146</t>
  </si>
  <si>
    <t>P84147</t>
  </si>
  <si>
    <t>P84148</t>
  </si>
  <si>
    <t>P84149</t>
  </si>
  <si>
    <t>P84150</t>
  </si>
  <si>
    <t>P84151</t>
  </si>
  <si>
    <t>P84152</t>
  </si>
  <si>
    <t>P84153</t>
  </si>
  <si>
    <t>P84154</t>
  </si>
  <si>
    <t>P84155</t>
  </si>
  <si>
    <t>P84156</t>
  </si>
  <si>
    <t>P84157</t>
  </si>
  <si>
    <t xml:space="preserve">Boisclair, Guy </t>
  </si>
  <si>
    <t xml:space="preserve">Brock, Jim </t>
  </si>
  <si>
    <t>JB</t>
  </si>
  <si>
    <t xml:space="preserve">Cole, Natalie </t>
  </si>
  <si>
    <t>NC</t>
  </si>
  <si>
    <t xml:space="preserve">Ducato, Thomas </t>
  </si>
  <si>
    <t xml:space="preserve">Garcia, Andrea </t>
  </si>
  <si>
    <t xml:space="preserve">Janzen, John </t>
  </si>
  <si>
    <t>Lange, Ted R</t>
  </si>
  <si>
    <t>TRL</t>
  </si>
  <si>
    <t xml:space="preserve">McNabb, Scott </t>
  </si>
  <si>
    <t xml:space="preserve">Pierre, Steffan </t>
  </si>
  <si>
    <t xml:space="preserve">Saha, Amartya </t>
  </si>
  <si>
    <t>LS</t>
  </si>
  <si>
    <t xml:space="preserve">Tobias, Franco </t>
  </si>
  <si>
    <t>FT</t>
  </si>
  <si>
    <t xml:space="preserve">Vaughan, Kristin </t>
  </si>
  <si>
    <t>Composite Water</t>
  </si>
  <si>
    <t>COM</t>
  </si>
  <si>
    <t>PEEPERS</t>
  </si>
  <si>
    <t>PEP</t>
  </si>
  <si>
    <t>10F100</t>
  </si>
  <si>
    <t>FIU 100F100591</t>
  </si>
  <si>
    <t>200805</t>
  </si>
  <si>
    <t>MicroTPW-Turb-SN:2000805217</t>
  </si>
  <si>
    <t>32044</t>
  </si>
  <si>
    <t>RTD PlatinumThermmodel4132ENP</t>
  </si>
  <si>
    <t>416732</t>
  </si>
  <si>
    <t>YSI-PRO DSS WMD-OKE 15J103115</t>
  </si>
  <si>
    <t>T06334</t>
  </si>
  <si>
    <t>Hydrolab Quanta\ENP</t>
  </si>
  <si>
    <t>ROTH_DISCHARGE</t>
  </si>
  <si>
    <t>ROTH_INTAKE</t>
  </si>
  <si>
    <t>P75212-1</t>
  </si>
  <si>
    <t>P75212-2</t>
  </si>
  <si>
    <t>P75212-1 (G)</t>
  </si>
  <si>
    <t>P75212-2 (G)</t>
  </si>
  <si>
    <t>IC/ICV</t>
  </si>
  <si>
    <t>IC/ICV#1</t>
  </si>
  <si>
    <t>Samples Received By: ________________________ Date: ______________  Time: _____________</t>
  </si>
  <si>
    <t>The samples and/or data from this submission were collected by, or under contract with WQM in accordance with the WQM Quality System using the current version of the FSQM (SFWMD-FIELD-QM-001)   __________(Initial)</t>
  </si>
  <si>
    <t>Samples preserved according to the Holding Time and Preservation table in the FSQM within 15 minutes of collection unless otherwise noted ________ (Intial)</t>
  </si>
  <si>
    <t>Preservation Check _______________ (Initial)</t>
  </si>
  <si>
    <t>HFDM Upload_______ (Initial)</t>
  </si>
  <si>
    <t>HFDM Upload/ Manual LIMS Entry (circle) _______________(Initial)</t>
  </si>
  <si>
    <t xml:space="preserve">Lindstrom, Linda </t>
  </si>
  <si>
    <t>LL</t>
  </si>
  <si>
    <t xml:space="preserve">Marchio, Dan </t>
  </si>
  <si>
    <t>PSMM</t>
  </si>
  <si>
    <t>SERFIS</t>
  </si>
  <si>
    <t>C43WQTTP</t>
  </si>
  <si>
    <t>LWC</t>
  </si>
  <si>
    <t>416906</t>
  </si>
  <si>
    <t>YSI ProDSS,SFWMD,SN:16C102912</t>
  </si>
  <si>
    <t>416908</t>
  </si>
  <si>
    <t>YSI ProDss,SFWMD, SN:16C102913</t>
  </si>
  <si>
    <t>416918</t>
  </si>
  <si>
    <t>Hydrolab MS5,SFWMD SN:032216B</t>
  </si>
  <si>
    <t>416919</t>
  </si>
  <si>
    <t>Hydrolab MS5,SFWMD, SN:032216A</t>
  </si>
  <si>
    <t>416925</t>
  </si>
  <si>
    <t>HydroTechHydrolabMulti-paramer</t>
  </si>
  <si>
    <t>416926</t>
  </si>
  <si>
    <t>HydroTechHydrolabMulti-Paramer</t>
  </si>
  <si>
    <t>MO</t>
  </si>
  <si>
    <t>02270500</t>
  </si>
  <si>
    <t>02273198</t>
  </si>
  <si>
    <t>C41H78</t>
  </si>
  <si>
    <t>G207</t>
  </si>
  <si>
    <t>G208</t>
  </si>
  <si>
    <t>S191</t>
  </si>
  <si>
    <t>S65E</t>
  </si>
  <si>
    <t>S71</t>
  </si>
  <si>
    <t>S72</t>
  </si>
  <si>
    <t>P82943-1</t>
  </si>
  <si>
    <t>P82943-2</t>
  </si>
  <si>
    <t>P82943-3</t>
  </si>
  <si>
    <t>P82943-4</t>
  </si>
  <si>
    <t>P82943-5</t>
  </si>
  <si>
    <t>P82943-6</t>
  </si>
  <si>
    <t>P82943-7</t>
  </si>
  <si>
    <t>P82943-8</t>
  </si>
  <si>
    <t>P82943-9</t>
  </si>
  <si>
    <t>P82943-10</t>
  </si>
  <si>
    <t>P82943-11</t>
  </si>
  <si>
    <t>P82943-12</t>
  </si>
  <si>
    <t>P82943-13</t>
  </si>
  <si>
    <t>P82943-14</t>
  </si>
  <si>
    <t>P82943-15</t>
  </si>
  <si>
    <t>P82943-16</t>
  </si>
  <si>
    <t>P82943-17</t>
  </si>
  <si>
    <t>P82943-18</t>
  </si>
  <si>
    <t>P82943-19</t>
  </si>
  <si>
    <t>P82943-20</t>
  </si>
  <si>
    <t>NOX,TKN,TPO4</t>
  </si>
  <si>
    <t xml:space="preserve"> (1) N-S68</t>
  </si>
  <si>
    <t>TPO4,TN</t>
  </si>
  <si>
    <t xml:space="preserve"> (1) N-ARBUCKLE</t>
  </si>
  <si>
    <t xml:space="preserve"> (1) N-X/OKUSGS FCEB</t>
  </si>
  <si>
    <t xml:space="preserve"> (1) N-X ONLY FCEB</t>
  </si>
  <si>
    <t>P89030</t>
  </si>
  <si>
    <t xml:space="preserve">Anderson, Meghan </t>
  </si>
  <si>
    <t xml:space="preserve">Ardelean, Aleah </t>
  </si>
  <si>
    <t xml:space="preserve">Balk, Nicole </t>
  </si>
  <si>
    <t>NB</t>
  </si>
  <si>
    <t xml:space="preserve">Bardi, Tara </t>
  </si>
  <si>
    <t xml:space="preserve">Boccio, Thomas </t>
  </si>
  <si>
    <t xml:space="preserve">Bornhoeft, Sarah </t>
  </si>
  <si>
    <t>SB</t>
  </si>
  <si>
    <t xml:space="preserve">Burroughs, Christopher </t>
  </si>
  <si>
    <t xml:space="preserve">Castaneda, Edward </t>
  </si>
  <si>
    <t xml:space="preserve">Clarke, Ron </t>
  </si>
  <si>
    <t>RC</t>
  </si>
  <si>
    <t xml:space="preserve">Crean, Linda </t>
  </si>
  <si>
    <t xml:space="preserve">Desantis, Shawn </t>
  </si>
  <si>
    <t xml:space="preserve">Dessu, Shimelis </t>
  </si>
  <si>
    <t xml:space="preserve">Dombrowski, Jake </t>
  </si>
  <si>
    <t>JD</t>
  </si>
  <si>
    <t xml:space="preserve">DuBois, Amy </t>
  </si>
  <si>
    <t xml:space="preserve">Evans, Nathan </t>
  </si>
  <si>
    <t>NE</t>
  </si>
  <si>
    <t xml:space="preserve">Frick, Darin </t>
  </si>
  <si>
    <t>DF</t>
  </si>
  <si>
    <t xml:space="preserve">Frye, Aubrey </t>
  </si>
  <si>
    <t xml:space="preserve">Garriga, Marbelys </t>
  </si>
  <si>
    <t>MG</t>
  </si>
  <si>
    <t xml:space="preserve">Hanlon, Chuck </t>
  </si>
  <si>
    <t xml:space="preserve">Hansen, Noah </t>
  </si>
  <si>
    <t>NH</t>
  </si>
  <si>
    <t xml:space="preserve">Johnson, Kevin </t>
  </si>
  <si>
    <t>KJ</t>
  </si>
  <si>
    <t xml:space="preserve">Kolterman, Dan </t>
  </si>
  <si>
    <t>DK</t>
  </si>
  <si>
    <t xml:space="preserve">Korous, Eva </t>
  </si>
  <si>
    <t xml:space="preserve">Krehahn, Iris </t>
  </si>
  <si>
    <t>IK</t>
  </si>
  <si>
    <t xml:space="preserve">Militello, Jared </t>
  </si>
  <si>
    <t xml:space="preserve">Nichols, Joel </t>
  </si>
  <si>
    <t>JN</t>
  </si>
  <si>
    <t xml:space="preserve">Olson, Steffany </t>
  </si>
  <si>
    <t xml:space="preserve">Prevratil, Thomas </t>
  </si>
  <si>
    <t>TP</t>
  </si>
  <si>
    <t xml:space="preserve">Rose, Catherine </t>
  </si>
  <si>
    <t>CR</t>
  </si>
  <si>
    <t xml:space="preserve">Scinto, Len </t>
  </si>
  <si>
    <t>Simons, Albert (Lee)</t>
  </si>
  <si>
    <t>A(S</t>
  </si>
  <si>
    <t xml:space="preserve">Smith, Sandy </t>
  </si>
  <si>
    <t xml:space="preserve">Staton, Sarah </t>
  </si>
  <si>
    <t xml:space="preserve">Susdorf, Gary </t>
  </si>
  <si>
    <t>GS</t>
  </si>
  <si>
    <t xml:space="preserve">Sykes, Kathryn </t>
  </si>
  <si>
    <t xml:space="preserve">Virden, Daniel </t>
  </si>
  <si>
    <t>DV</t>
  </si>
  <si>
    <t xml:space="preserve">Walker, Richard </t>
  </si>
  <si>
    <t xml:space="preserve">Wright, Stephen </t>
  </si>
  <si>
    <t xml:space="preserve">Zhou, Meifang </t>
  </si>
  <si>
    <t>MZ</t>
  </si>
  <si>
    <t>UTS</t>
  </si>
  <si>
    <t>PFLUX_AF</t>
  </si>
  <si>
    <t>BIR</t>
  </si>
  <si>
    <t>WQMQA</t>
  </si>
  <si>
    <t>100137</t>
  </si>
  <si>
    <t>YSI ProDSS S/N 16E100137</t>
  </si>
  <si>
    <t>416932</t>
  </si>
  <si>
    <t>YSI PRODSS SONDE</t>
  </si>
  <si>
    <t>417291</t>
  </si>
  <si>
    <t>417296</t>
  </si>
  <si>
    <t>YSI ProDss,SFWMD, SN:17B103267</t>
  </si>
  <si>
    <t>417297</t>
  </si>
  <si>
    <t>YSI ProDss,SFWMD, SN:17B103268</t>
  </si>
  <si>
    <t>417299</t>
  </si>
  <si>
    <t>HydroTechHydrolab MS5SN031017A</t>
  </si>
  <si>
    <t>P89555</t>
  </si>
  <si>
    <t>P89556</t>
  </si>
  <si>
    <t>P90186</t>
  </si>
  <si>
    <t>P91116</t>
  </si>
  <si>
    <t>P91872</t>
  </si>
  <si>
    <t>P92246</t>
  </si>
  <si>
    <t>P92661</t>
  </si>
  <si>
    <t>P92662</t>
  </si>
  <si>
    <t>P92663</t>
  </si>
  <si>
    <t>P92696</t>
  </si>
  <si>
    <t>P92700</t>
  </si>
  <si>
    <t>P92880</t>
  </si>
  <si>
    <t>P92902</t>
  </si>
  <si>
    <t>P92918</t>
  </si>
  <si>
    <t>P92935</t>
  </si>
  <si>
    <t>P92936</t>
  </si>
  <si>
    <t>P92937</t>
  </si>
  <si>
    <t>P93054</t>
  </si>
  <si>
    <t>P93310</t>
  </si>
  <si>
    <t>P93435</t>
  </si>
  <si>
    <t>P93456</t>
  </si>
  <si>
    <t>P93775</t>
  </si>
  <si>
    <t>P93853</t>
  </si>
  <si>
    <t>P93993</t>
  </si>
  <si>
    <t>P93994</t>
  </si>
  <si>
    <t>P93995</t>
  </si>
  <si>
    <t>P93996</t>
  </si>
  <si>
    <t>P93997</t>
  </si>
  <si>
    <t>P94002</t>
  </si>
  <si>
    <t>P94003</t>
  </si>
  <si>
    <t>P94060</t>
  </si>
  <si>
    <t>P94064</t>
  </si>
  <si>
    <t>P94078</t>
  </si>
  <si>
    <t>Anderson, Eric D.</t>
  </si>
  <si>
    <t>EDA</t>
  </si>
  <si>
    <t>CFWI-1</t>
  </si>
  <si>
    <t>CFWI-2</t>
  </si>
  <si>
    <t>CFWI-3</t>
  </si>
  <si>
    <t>CFWI-4</t>
  </si>
  <si>
    <t xml:space="preserve">Carstens, Chris </t>
  </si>
  <si>
    <t xml:space="preserve">Colios, Sam </t>
  </si>
  <si>
    <t>SC</t>
  </si>
  <si>
    <t xml:space="preserve">Connolly-Randazzo, Elissa </t>
  </si>
  <si>
    <t>DPM_PERI_SAMPLING</t>
  </si>
  <si>
    <t xml:space="preserve">Doak, James </t>
  </si>
  <si>
    <t xml:space="preserve">Eyelington, Ian </t>
  </si>
  <si>
    <t>IE</t>
  </si>
  <si>
    <t xml:space="preserve">Francisco, DeeAnna </t>
  </si>
  <si>
    <t xml:space="preserve">Gosselin, Susan </t>
  </si>
  <si>
    <t>SG</t>
  </si>
  <si>
    <t xml:space="preserve">Grace, Kevin </t>
  </si>
  <si>
    <t>KG</t>
  </si>
  <si>
    <t xml:space="preserve">Jackson, Lisa </t>
  </si>
  <si>
    <t>LJ</t>
  </si>
  <si>
    <t>Jett, Harold TJ</t>
  </si>
  <si>
    <t>HTJ</t>
  </si>
  <si>
    <t xml:space="preserve">Josan, Manohardeep </t>
  </si>
  <si>
    <t xml:space="preserve">Morris, Mathew </t>
  </si>
  <si>
    <t xml:space="preserve">Murillo, Elizabeth </t>
  </si>
  <si>
    <t>EM</t>
  </si>
  <si>
    <t>NESST6-1&amp;6-2</t>
  </si>
  <si>
    <t>PFLUX-AS-1</t>
  </si>
  <si>
    <t>PFLUX-AS-2</t>
  </si>
  <si>
    <t>PFLUX-AS-3</t>
  </si>
  <si>
    <t>PFLUX-AS-4</t>
  </si>
  <si>
    <t>PFLUX-AS-5</t>
  </si>
  <si>
    <t xml:space="preserve">Plunkett, Rachel </t>
  </si>
  <si>
    <t xml:space="preserve">QUARTERLY, ST1E/ST1W </t>
  </si>
  <si>
    <t>SQ</t>
  </si>
  <si>
    <t xml:space="preserve">Satterfield, Ashley </t>
  </si>
  <si>
    <t xml:space="preserve">Smith, Keith </t>
  </si>
  <si>
    <t xml:space="preserve">Starcher, MaryAnn </t>
  </si>
  <si>
    <t>MS</t>
  </si>
  <si>
    <t>Studt, Andrew J</t>
  </si>
  <si>
    <t>AJS</t>
  </si>
  <si>
    <t xml:space="preserve">Szafranski, Geoff </t>
  </si>
  <si>
    <t xml:space="preserve">Teets, Jessica </t>
  </si>
  <si>
    <t xml:space="preserve">Thime, Adam </t>
  </si>
  <si>
    <t>AT</t>
  </si>
  <si>
    <t xml:space="preserve">Wright, Alan </t>
  </si>
  <si>
    <t>AW</t>
  </si>
  <si>
    <t xml:space="preserve">Zanzucchi, Alyssa </t>
  </si>
  <si>
    <t>AZ</t>
  </si>
  <si>
    <t>CHIP</t>
  </si>
  <si>
    <t>NEPPP</t>
  </si>
  <si>
    <t>CFWI</t>
  </si>
  <si>
    <t>400933</t>
  </si>
  <si>
    <t>YSI 5562</t>
  </si>
  <si>
    <t>YSI PRO DSS OKEE WQ</t>
  </si>
  <si>
    <t>417376</t>
  </si>
  <si>
    <t>YSIProDSS SN:17F104239</t>
  </si>
  <si>
    <t>417399</t>
  </si>
  <si>
    <t>YSIProDSS SN:17E101555</t>
  </si>
  <si>
    <t>417548</t>
  </si>
  <si>
    <t>New ProDss Provbe</t>
  </si>
  <si>
    <t>417893</t>
  </si>
  <si>
    <t>HydrolabHL4</t>
  </si>
  <si>
    <t>QT0216</t>
  </si>
  <si>
    <t>Hydrolab for ENP</t>
  </si>
  <si>
    <t>NA,F</t>
  </si>
  <si>
    <t>CA (GR)</t>
  </si>
  <si>
    <t>SM 3120 B, Calcium</t>
  </si>
  <si>
    <t>MG (GR)</t>
  </si>
  <si>
    <t>K (GR)</t>
  </si>
  <si>
    <t>NA (GR)</t>
  </si>
  <si>
    <t>SM 3120 B, Sodium</t>
  </si>
  <si>
    <t>NH4</t>
  </si>
  <si>
    <t>4C,SA,F</t>
  </si>
  <si>
    <t>GY</t>
  </si>
  <si>
    <t>NH4 (GY)</t>
  </si>
  <si>
    <t>SM 4500NH3H, Ammonium</t>
  </si>
  <si>
    <t>NOX</t>
  </si>
  <si>
    <t>NOX (GY)</t>
  </si>
  <si>
    <t>SM 4500NO3F, Nitrite/Nitrate</t>
  </si>
  <si>
    <t>CL</t>
  </si>
  <si>
    <t>4C,F</t>
  </si>
  <si>
    <t>OR</t>
  </si>
  <si>
    <t>CL (OR)</t>
  </si>
  <si>
    <t>EPA 300.0, Chloride</t>
  </si>
  <si>
    <t>SO4</t>
  </si>
  <si>
    <t>SO4 (OR)</t>
  </si>
  <si>
    <t>EPA 300.0, Sulfate</t>
  </si>
  <si>
    <t>NO2</t>
  </si>
  <si>
    <t>NO2 (OR)</t>
  </si>
  <si>
    <t>SM 4500NO3F, NO2</t>
  </si>
  <si>
    <t>OPO4</t>
  </si>
  <si>
    <t>OPO4 (OR)</t>
  </si>
  <si>
    <t>SM 4500PF, OrthoPhosphorus</t>
  </si>
  <si>
    <t>mpowers</t>
  </si>
  <si>
    <t>Chemlab2</t>
  </si>
  <si>
    <t>mpow</t>
  </si>
  <si>
    <t>Matt O Powers</t>
  </si>
  <si>
    <t>P91162</t>
  </si>
  <si>
    <t>P94079</t>
  </si>
  <si>
    <t>P94082</t>
  </si>
  <si>
    <t>P94116</t>
  </si>
  <si>
    <t>P94120</t>
  </si>
  <si>
    <t>P94222</t>
  </si>
  <si>
    <t>P94268</t>
  </si>
  <si>
    <t>P94292</t>
  </si>
  <si>
    <t>P94296</t>
  </si>
  <si>
    <t>P94297</t>
  </si>
  <si>
    <t>P94344</t>
  </si>
  <si>
    <t>P94345</t>
  </si>
  <si>
    <t>P94346</t>
  </si>
  <si>
    <t>P94353</t>
  </si>
  <si>
    <t>P94388</t>
  </si>
  <si>
    <t>P94449</t>
  </si>
  <si>
    <t>P94454</t>
  </si>
  <si>
    <t>P94455</t>
  </si>
  <si>
    <t>P94469</t>
  </si>
  <si>
    <t>P94572</t>
  </si>
  <si>
    <t>P94643</t>
  </si>
  <si>
    <t>P94670</t>
  </si>
  <si>
    <t>P94673</t>
  </si>
  <si>
    <t>P94682</t>
  </si>
  <si>
    <t>P94723</t>
  </si>
  <si>
    <t>P94724</t>
  </si>
  <si>
    <t>P94808</t>
  </si>
  <si>
    <t>P94827</t>
  </si>
  <si>
    <t>P94844</t>
  </si>
  <si>
    <t>P94858</t>
  </si>
  <si>
    <t>P94859</t>
  </si>
  <si>
    <t>P94885</t>
  </si>
  <si>
    <t>P94886</t>
  </si>
  <si>
    <t>P94891</t>
  </si>
  <si>
    <t>P94892</t>
  </si>
  <si>
    <t>P94958</t>
  </si>
  <si>
    <t>P94973</t>
  </si>
  <si>
    <t>P94977</t>
  </si>
  <si>
    <t>P95004</t>
  </si>
  <si>
    <t>P95016</t>
  </si>
  <si>
    <t>P95017</t>
  </si>
  <si>
    <t>P95032</t>
  </si>
  <si>
    <t>P95034</t>
  </si>
  <si>
    <t>P95040</t>
  </si>
  <si>
    <t>P95048</t>
  </si>
  <si>
    <t>P95051</t>
  </si>
  <si>
    <t>P95053</t>
  </si>
  <si>
    <t>P95056</t>
  </si>
  <si>
    <t>P95104</t>
  </si>
  <si>
    <t>P95106</t>
  </si>
  <si>
    <t>P95109</t>
  </si>
  <si>
    <t>P95141</t>
  </si>
  <si>
    <t>P95158</t>
  </si>
  <si>
    <t>P95159</t>
  </si>
  <si>
    <t>P95162</t>
  </si>
  <si>
    <t>P95185</t>
  </si>
  <si>
    <t>P95186</t>
  </si>
  <si>
    <t>P95187</t>
  </si>
  <si>
    <t>P95188</t>
  </si>
  <si>
    <t>P95189</t>
  </si>
  <si>
    <t>P95190</t>
  </si>
  <si>
    <t>P95191</t>
  </si>
  <si>
    <t>P95192</t>
  </si>
  <si>
    <t>P95193</t>
  </si>
  <si>
    <t>P95194</t>
  </si>
  <si>
    <t>P95196</t>
  </si>
  <si>
    <t>P95197</t>
  </si>
  <si>
    <t>P95221</t>
  </si>
  <si>
    <t>P95222</t>
  </si>
  <si>
    <t>P95224</t>
  </si>
  <si>
    <t>P95225</t>
  </si>
  <si>
    <t>P95227</t>
  </si>
  <si>
    <t>P95229</t>
  </si>
  <si>
    <t>P95230</t>
  </si>
  <si>
    <t>P95246</t>
  </si>
  <si>
    <t>P95247</t>
  </si>
  <si>
    <t>P95269</t>
  </si>
  <si>
    <t>P95274</t>
  </si>
  <si>
    <t>P95275</t>
  </si>
  <si>
    <t>P95298</t>
  </si>
  <si>
    <t>P95299</t>
  </si>
  <si>
    <t>P95303</t>
  </si>
  <si>
    <t>P95304</t>
  </si>
  <si>
    <t>P95332</t>
  </si>
  <si>
    <t>P95347</t>
  </si>
  <si>
    <t>P95363</t>
  </si>
  <si>
    <t>P95364</t>
  </si>
  <si>
    <t>P95365</t>
  </si>
  <si>
    <t>P95366</t>
  </si>
  <si>
    <t>P95367</t>
  </si>
  <si>
    <t>P95368</t>
  </si>
  <si>
    <t>P95374</t>
  </si>
  <si>
    <t>P95375</t>
  </si>
  <si>
    <t>P95376</t>
  </si>
  <si>
    <t>P95377</t>
  </si>
  <si>
    <t>P95378</t>
  </si>
  <si>
    <t>P95379</t>
  </si>
  <si>
    <t>P95381</t>
  </si>
  <si>
    <t>P95382</t>
  </si>
  <si>
    <t>P95383</t>
  </si>
  <si>
    <t>P95387</t>
  </si>
  <si>
    <t>P95388</t>
  </si>
  <si>
    <t>P95391</t>
  </si>
  <si>
    <t>P95392</t>
  </si>
  <si>
    <t>P95393</t>
  </si>
  <si>
    <t>P95394</t>
  </si>
  <si>
    <t>P95395</t>
  </si>
  <si>
    <t>P95396</t>
  </si>
  <si>
    <t>P95397</t>
  </si>
  <si>
    <t>P95398</t>
  </si>
  <si>
    <t>P95399</t>
  </si>
  <si>
    <t>P95400</t>
  </si>
  <si>
    <t>P95403</t>
  </si>
  <si>
    <t>P95404</t>
  </si>
  <si>
    <t>P95405</t>
  </si>
  <si>
    <t>P95407</t>
  </si>
  <si>
    <t>P95408</t>
  </si>
  <si>
    <t>P95409</t>
  </si>
  <si>
    <t>P95410</t>
  </si>
  <si>
    <t>P95413</t>
  </si>
  <si>
    <t>P95414</t>
  </si>
  <si>
    <t>P95415</t>
  </si>
  <si>
    <t>P95416</t>
  </si>
  <si>
    <t>P95417</t>
  </si>
  <si>
    <t>P95418</t>
  </si>
  <si>
    <t>P95419</t>
  </si>
  <si>
    <t>P95420</t>
  </si>
  <si>
    <t>P95421</t>
  </si>
  <si>
    <t>P95422</t>
  </si>
  <si>
    <t>P95424</t>
  </si>
  <si>
    <t>P95425</t>
  </si>
  <si>
    <t>P95427</t>
  </si>
  <si>
    <t>P95428</t>
  </si>
  <si>
    <t>P95429</t>
  </si>
  <si>
    <t>P95430</t>
  </si>
  <si>
    <t>P95433</t>
  </si>
  <si>
    <t>P95434</t>
  </si>
  <si>
    <t>P95435</t>
  </si>
  <si>
    <t>P95436</t>
  </si>
  <si>
    <t>P95437</t>
  </si>
  <si>
    <t>P95438</t>
  </si>
  <si>
    <t>P95440</t>
  </si>
  <si>
    <t>P95441</t>
  </si>
  <si>
    <t>P95444</t>
  </si>
  <si>
    <t>P95446</t>
  </si>
  <si>
    <t>P95459</t>
  </si>
  <si>
    <t>P95462</t>
  </si>
  <si>
    <t>P95464</t>
  </si>
  <si>
    <t>P95465</t>
  </si>
  <si>
    <t>P95466</t>
  </si>
  <si>
    <t>P95467</t>
  </si>
  <si>
    <t>P95474</t>
  </si>
  <si>
    <t>P95477</t>
  </si>
  <si>
    <t>P95478</t>
  </si>
  <si>
    <t>P95479</t>
  </si>
  <si>
    <t>P95480</t>
  </si>
  <si>
    <t>P95481</t>
  </si>
  <si>
    <t>P95482</t>
  </si>
  <si>
    <t>P95492</t>
  </si>
  <si>
    <t>P95509</t>
  </si>
  <si>
    <t>P95521</t>
  </si>
  <si>
    <t>P95531</t>
  </si>
  <si>
    <t>P95538</t>
  </si>
  <si>
    <t>P95545</t>
  </si>
  <si>
    <t>P95552</t>
  </si>
  <si>
    <t>P95555</t>
  </si>
  <si>
    <t>P95557</t>
  </si>
  <si>
    <t>P95571</t>
  </si>
  <si>
    <t>P95572</t>
  </si>
  <si>
    <t>P95573</t>
  </si>
  <si>
    <t>P95574</t>
  </si>
  <si>
    <t>P95576</t>
  </si>
  <si>
    <t>P95577</t>
  </si>
  <si>
    <t>P95578</t>
  </si>
  <si>
    <t>P95579</t>
  </si>
  <si>
    <t>P95580</t>
  </si>
  <si>
    <t>P95581</t>
  </si>
  <si>
    <t>P95582</t>
  </si>
  <si>
    <t>P95598</t>
  </si>
  <si>
    <t>P95599</t>
  </si>
  <si>
    <t>P95600</t>
  </si>
  <si>
    <t>P95601</t>
  </si>
  <si>
    <t>P95602</t>
  </si>
  <si>
    <t>P95605</t>
  </si>
  <si>
    <t>P95610</t>
  </si>
  <si>
    <t>P95617</t>
  </si>
  <si>
    <t>P95618</t>
  </si>
  <si>
    <t>P95619</t>
  </si>
  <si>
    <t>P95621</t>
  </si>
  <si>
    <t>P95622</t>
  </si>
  <si>
    <t>P95667</t>
  </si>
  <si>
    <t>P95668</t>
  </si>
  <si>
    <t>P95669</t>
  </si>
  <si>
    <t>P95670</t>
  </si>
  <si>
    <t>P95671</t>
  </si>
  <si>
    <t>P95672</t>
  </si>
  <si>
    <t>P95676</t>
  </si>
  <si>
    <t>P95677</t>
  </si>
  <si>
    <t>P95678</t>
  </si>
  <si>
    <t>P95683</t>
  </si>
  <si>
    <t>P95684</t>
  </si>
  <si>
    <t>P95685</t>
  </si>
  <si>
    <t>P95689</t>
  </si>
  <si>
    <t>P95690</t>
  </si>
  <si>
    <t>P95691</t>
  </si>
  <si>
    <t>P95692</t>
  </si>
  <si>
    <t>P95705</t>
  </si>
  <si>
    <t>P95706</t>
  </si>
  <si>
    <t>P95707</t>
  </si>
  <si>
    <t>P95708</t>
  </si>
  <si>
    <t>P95712</t>
  </si>
  <si>
    <t>P95713</t>
  </si>
  <si>
    <t>P95714</t>
  </si>
  <si>
    <t>P95715</t>
  </si>
  <si>
    <t>P95765</t>
  </si>
  <si>
    <t>P95788</t>
  </si>
  <si>
    <t>P95792</t>
  </si>
  <si>
    <t>P95800</t>
  </si>
  <si>
    <t>P95801</t>
  </si>
  <si>
    <t>P95802</t>
  </si>
  <si>
    <t>P95803</t>
  </si>
  <si>
    <t>P95804</t>
  </si>
  <si>
    <t>P95805</t>
  </si>
  <si>
    <t>P95806</t>
  </si>
  <si>
    <t>P95807</t>
  </si>
  <si>
    <t>P95808</t>
  </si>
  <si>
    <t>P95814</t>
  </si>
  <si>
    <t>P95815</t>
  </si>
  <si>
    <t>P95816</t>
  </si>
  <si>
    <t>P95819</t>
  </si>
  <si>
    <t>P95820</t>
  </si>
  <si>
    <t>P95824</t>
  </si>
  <si>
    <t>P95825</t>
  </si>
  <si>
    <t>P95828</t>
  </si>
  <si>
    <t>P95829</t>
  </si>
  <si>
    <t>P95830</t>
  </si>
  <si>
    <t>P95831</t>
  </si>
  <si>
    <t>P95832</t>
  </si>
  <si>
    <t>P95856</t>
  </si>
  <si>
    <t>P95857</t>
  </si>
  <si>
    <t>P95862</t>
  </si>
  <si>
    <t>P95863</t>
  </si>
  <si>
    <t>P95865</t>
  </si>
  <si>
    <t>P95866</t>
  </si>
  <si>
    <t>P95868</t>
  </si>
  <si>
    <t>P95869</t>
  </si>
  <si>
    <t>P95871</t>
  </si>
  <si>
    <t>P95872</t>
  </si>
  <si>
    <t>P95874</t>
  </si>
  <si>
    <t>P95875</t>
  </si>
  <si>
    <t>P95877</t>
  </si>
  <si>
    <t>P95878</t>
  </si>
  <si>
    <t>P95880</t>
  </si>
  <si>
    <t>P95881</t>
  </si>
  <si>
    <t>P95883</t>
  </si>
  <si>
    <t>P95884</t>
  </si>
  <si>
    <t>P95886</t>
  </si>
  <si>
    <t>P95887</t>
  </si>
  <si>
    <t>P95893</t>
  </si>
  <si>
    <t>P95894</t>
  </si>
  <si>
    <t>P95896</t>
  </si>
  <si>
    <t>P95897</t>
  </si>
  <si>
    <t>P95904</t>
  </si>
  <si>
    <t>P95906</t>
  </si>
  <si>
    <t>P95908</t>
  </si>
  <si>
    <t>P95909</t>
  </si>
  <si>
    <t>P95912</t>
  </si>
  <si>
    <t>P95913</t>
  </si>
  <si>
    <t>P95914</t>
  </si>
  <si>
    <t>P95915</t>
  </si>
  <si>
    <t>P95916</t>
  </si>
  <si>
    <t>P95917</t>
  </si>
  <si>
    <t>P95918</t>
  </si>
  <si>
    <t>P95920</t>
  </si>
  <si>
    <t>P95921</t>
  </si>
  <si>
    <t>P95924</t>
  </si>
  <si>
    <t>P95927</t>
  </si>
  <si>
    <t>P95929</t>
  </si>
  <si>
    <t>P95931</t>
  </si>
  <si>
    <t>P95933</t>
  </si>
  <si>
    <t>P95936</t>
  </si>
  <si>
    <t>P95954</t>
  </si>
  <si>
    <t>P95960</t>
  </si>
  <si>
    <t>P95964</t>
  </si>
  <si>
    <t>P95966</t>
  </si>
  <si>
    <t>P95967</t>
  </si>
  <si>
    <t>P95968</t>
  </si>
  <si>
    <t>P95973</t>
  </si>
  <si>
    <t>P95974</t>
  </si>
  <si>
    <t>P95975</t>
  </si>
  <si>
    <t>P95976</t>
  </si>
  <si>
    <t>P95977</t>
  </si>
  <si>
    <t>P95980</t>
  </si>
  <si>
    <t>P95981</t>
  </si>
  <si>
    <t>P95982</t>
  </si>
  <si>
    <t>P95983</t>
  </si>
  <si>
    <t>P95987</t>
  </si>
  <si>
    <t>P95989</t>
  </si>
  <si>
    <t>P95990</t>
  </si>
  <si>
    <t>P95992</t>
  </si>
  <si>
    <t>P95993</t>
  </si>
  <si>
    <t>P96000</t>
  </si>
  <si>
    <t>P96001</t>
  </si>
  <si>
    <t>P96002</t>
  </si>
  <si>
    <t>P96003</t>
  </si>
  <si>
    <t>P96004</t>
  </si>
  <si>
    <t>P96005</t>
  </si>
  <si>
    <t>P96006</t>
  </si>
  <si>
    <t>P96007</t>
  </si>
  <si>
    <t>P96013</t>
  </si>
  <si>
    <t>P96014</t>
  </si>
  <si>
    <t>P96015</t>
  </si>
  <si>
    <t>P96019</t>
  </si>
  <si>
    <t>P96020</t>
  </si>
  <si>
    <t>P96021</t>
  </si>
  <si>
    <t>P96022</t>
  </si>
  <si>
    <t>P96031</t>
  </si>
  <si>
    <t>P96032</t>
  </si>
  <si>
    <t>P96033</t>
  </si>
  <si>
    <t>P96034</t>
  </si>
  <si>
    <t>P96035</t>
  </si>
  <si>
    <t>P96036</t>
  </si>
  <si>
    <t>P96037</t>
  </si>
  <si>
    <t>P96038</t>
  </si>
  <si>
    <t>P96042</t>
  </si>
  <si>
    <t>P96043</t>
  </si>
  <si>
    <t>P96044</t>
  </si>
  <si>
    <t>P96045</t>
  </si>
  <si>
    <t>P96046</t>
  </si>
  <si>
    <t>P96047</t>
  </si>
  <si>
    <t>P96048</t>
  </si>
  <si>
    <t>P96062</t>
  </si>
  <si>
    <t>P96063</t>
  </si>
  <si>
    <t>P96064</t>
  </si>
  <si>
    <t>P96065</t>
  </si>
  <si>
    <t>P96066</t>
  </si>
  <si>
    <t>P96067</t>
  </si>
  <si>
    <t>P96069</t>
  </si>
  <si>
    <t>P96077</t>
  </si>
  <si>
    <t>P96078</t>
  </si>
  <si>
    <t>P96080</t>
  </si>
  <si>
    <t>P96082</t>
  </si>
  <si>
    <t>P96084</t>
  </si>
  <si>
    <t>P96085</t>
  </si>
  <si>
    <t>P96087</t>
  </si>
  <si>
    <t>P96089</t>
  </si>
  <si>
    <t>P96091</t>
  </si>
  <si>
    <t>P96092</t>
  </si>
  <si>
    <t>P96093</t>
  </si>
  <si>
    <t>P96094</t>
  </si>
  <si>
    <t>P96095</t>
  </si>
  <si>
    <t>P96098</t>
  </si>
  <si>
    <t>P96099</t>
  </si>
  <si>
    <t>P96100</t>
  </si>
  <si>
    <t>P96104</t>
  </si>
  <si>
    <t>P96106</t>
  </si>
  <si>
    <t>P96108</t>
  </si>
  <si>
    <t>P96109</t>
  </si>
  <si>
    <t>P96113</t>
  </si>
  <si>
    <t>P96114</t>
  </si>
  <si>
    <t>P96117</t>
  </si>
  <si>
    <t>P96119</t>
  </si>
  <si>
    <t>P96120</t>
  </si>
  <si>
    <t>P96121</t>
  </si>
  <si>
    <t>P96122</t>
  </si>
  <si>
    <t>P96123</t>
  </si>
  <si>
    <t>P96124</t>
  </si>
  <si>
    <t>P96125</t>
  </si>
  <si>
    <t>P96130</t>
  </si>
  <si>
    <t>P96131</t>
  </si>
  <si>
    <t>P96132</t>
  </si>
  <si>
    <t>P96133</t>
  </si>
  <si>
    <t>P96134</t>
  </si>
  <si>
    <t>P96135</t>
  </si>
  <si>
    <t>P96136</t>
  </si>
  <si>
    <t>P96137</t>
  </si>
  <si>
    <t>P96142</t>
  </si>
  <si>
    <t>P96143</t>
  </si>
  <si>
    <t>P96144</t>
  </si>
  <si>
    <t>P96146</t>
  </si>
  <si>
    <t>P96147</t>
  </si>
  <si>
    <t>P96148</t>
  </si>
  <si>
    <t>P96149</t>
  </si>
  <si>
    <t>P96150</t>
  </si>
  <si>
    <t>P96152</t>
  </si>
  <si>
    <t>P96154</t>
  </si>
  <si>
    <t>P96157</t>
  </si>
  <si>
    <t>P96158</t>
  </si>
  <si>
    <t>P96159</t>
  </si>
  <si>
    <t>P96160</t>
  </si>
  <si>
    <t>P96161</t>
  </si>
  <si>
    <t>P96162</t>
  </si>
  <si>
    <t>P96163</t>
  </si>
  <si>
    <t>P96167</t>
  </si>
  <si>
    <t>P96170</t>
  </si>
  <si>
    <t>P96171</t>
  </si>
  <si>
    <t>P96172</t>
  </si>
  <si>
    <t>P96173</t>
  </si>
  <si>
    <t>P96176</t>
  </si>
  <si>
    <t>P96177</t>
  </si>
  <si>
    <t>P96180</t>
  </si>
  <si>
    <t>P96181</t>
  </si>
  <si>
    <t>P96182</t>
  </si>
  <si>
    <t>P96187</t>
  </si>
  <si>
    <t>P96189</t>
  </si>
  <si>
    <t>P96191</t>
  </si>
  <si>
    <t>P96434</t>
  </si>
  <si>
    <t>P96435</t>
  </si>
  <si>
    <t>P96445</t>
  </si>
  <si>
    <t>P96447</t>
  </si>
  <si>
    <t>P96449</t>
  </si>
  <si>
    <t>P96453</t>
  </si>
  <si>
    <t>P96454</t>
  </si>
  <si>
    <t>P96455</t>
  </si>
  <si>
    <t>P96456</t>
  </si>
  <si>
    <t>P96459</t>
  </si>
  <si>
    <t>P96460</t>
  </si>
  <si>
    <t>P96461</t>
  </si>
  <si>
    <t>P96462</t>
  </si>
  <si>
    <t>P96463</t>
  </si>
  <si>
    <t>P96464</t>
  </si>
  <si>
    <t>P96466</t>
  </si>
  <si>
    <t>P96467</t>
  </si>
  <si>
    <t>P96468</t>
  </si>
  <si>
    <t>P96469</t>
  </si>
  <si>
    <t>P96470</t>
  </si>
  <si>
    <t>P96472</t>
  </si>
  <si>
    <t>P96476</t>
  </si>
  <si>
    <t>P96477</t>
  </si>
  <si>
    <t>P96479</t>
  </si>
  <si>
    <t>P96481</t>
  </si>
  <si>
    <t>P96483</t>
  </si>
  <si>
    <t>P96485</t>
  </si>
  <si>
    <t>P96487</t>
  </si>
  <si>
    <t>P96488</t>
  </si>
  <si>
    <t>P96489</t>
  </si>
  <si>
    <t>P96490</t>
  </si>
  <si>
    <t>P96491</t>
  </si>
  <si>
    <t>P96492</t>
  </si>
  <si>
    <t>P96493</t>
  </si>
  <si>
    <t>P96495</t>
  </si>
  <si>
    <t>P96498</t>
  </si>
  <si>
    <t>P96499</t>
  </si>
  <si>
    <t>P96501</t>
  </si>
  <si>
    <t>P96502</t>
  </si>
  <si>
    <t>P96505</t>
  </si>
  <si>
    <t>P96506</t>
  </si>
  <si>
    <t>P96507</t>
  </si>
  <si>
    <t>P96508</t>
  </si>
  <si>
    <t>P96514</t>
  </si>
  <si>
    <t>P96515</t>
  </si>
  <si>
    <t>P96518</t>
  </si>
  <si>
    <t>P96519</t>
  </si>
  <si>
    <t>P96520</t>
  </si>
  <si>
    <t>P96525</t>
  </si>
  <si>
    <t>P96529</t>
  </si>
  <si>
    <t>P96534</t>
  </si>
  <si>
    <t>P96535</t>
  </si>
  <si>
    <t>P96536</t>
  </si>
  <si>
    <t>P96537</t>
  </si>
  <si>
    <t>P96538</t>
  </si>
  <si>
    <t>P96540</t>
  </si>
  <si>
    <t>P96544</t>
  </si>
  <si>
    <t>P96545</t>
  </si>
  <si>
    <t>P96546</t>
  </si>
  <si>
    <t>P96547</t>
  </si>
  <si>
    <t>P96549</t>
  </si>
  <si>
    <t>P96550</t>
  </si>
  <si>
    <t>P96551</t>
  </si>
  <si>
    <t>P96552</t>
  </si>
  <si>
    <t>P96553</t>
  </si>
  <si>
    <t>P96554</t>
  </si>
  <si>
    <t>P96556</t>
  </si>
  <si>
    <t>P96557</t>
  </si>
  <si>
    <t>P96558</t>
  </si>
  <si>
    <t>P96559</t>
  </si>
  <si>
    <t>P96560</t>
  </si>
  <si>
    <t>P96562</t>
  </si>
  <si>
    <t>P96563</t>
  </si>
  <si>
    <t>P96565</t>
  </si>
  <si>
    <t>P96566</t>
  </si>
  <si>
    <t>P96567</t>
  </si>
  <si>
    <t>P96568</t>
  </si>
  <si>
    <t>P96569</t>
  </si>
  <si>
    <t>P96571</t>
  </si>
  <si>
    <t>P96572</t>
  </si>
  <si>
    <t>P96574</t>
  </si>
  <si>
    <t>P96575</t>
  </si>
  <si>
    <t>P96576</t>
  </si>
  <si>
    <t>P96577</t>
  </si>
  <si>
    <t>P96578</t>
  </si>
  <si>
    <t>P96600</t>
  </si>
  <si>
    <t>P96601</t>
  </si>
  <si>
    <t>P96602</t>
  </si>
  <si>
    <t>P96603</t>
  </si>
  <si>
    <t>P96604</t>
  </si>
  <si>
    <t>P96605</t>
  </si>
  <si>
    <t>P96606</t>
  </si>
  <si>
    <t>P96607</t>
  </si>
  <si>
    <t>P96608</t>
  </si>
  <si>
    <t>P96609</t>
  </si>
  <si>
    <t>P96610</t>
  </si>
  <si>
    <t>P96611</t>
  </si>
  <si>
    <t>P96616</t>
  </si>
  <si>
    <t>P96617</t>
  </si>
  <si>
    <t>P96618</t>
  </si>
  <si>
    <t>P96619</t>
  </si>
  <si>
    <t>P96620</t>
  </si>
  <si>
    <t>P96621</t>
  </si>
  <si>
    <t>P96622</t>
  </si>
  <si>
    <t>P96623</t>
  </si>
  <si>
    <t>P96624</t>
  </si>
  <si>
    <t>P96625</t>
  </si>
  <si>
    <t>P96626</t>
  </si>
  <si>
    <t>P96627</t>
  </si>
  <si>
    <t>P96628</t>
  </si>
  <si>
    <t>P96629</t>
  </si>
  <si>
    <t>P96630</t>
  </si>
  <si>
    <t>P96631</t>
  </si>
  <si>
    <t>P96632</t>
  </si>
  <si>
    <t>P96633</t>
  </si>
  <si>
    <t>P96634</t>
  </si>
  <si>
    <t>P96635</t>
  </si>
  <si>
    <t>P96636</t>
  </si>
  <si>
    <t>P96637</t>
  </si>
  <si>
    <t>P96640</t>
  </si>
  <si>
    <t>P96641</t>
  </si>
  <si>
    <t>P96642</t>
  </si>
  <si>
    <t>P96645</t>
  </si>
  <si>
    <t>P96646</t>
  </si>
  <si>
    <t>P96647</t>
  </si>
  <si>
    <t>P96648</t>
  </si>
  <si>
    <t>P96649</t>
  </si>
  <si>
    <t>P96651</t>
  </si>
  <si>
    <t>P96652</t>
  </si>
  <si>
    <t>P96653</t>
  </si>
  <si>
    <t>P96655</t>
  </si>
  <si>
    <t>P96656</t>
  </si>
  <si>
    <t>P96657</t>
  </si>
  <si>
    <t>P96658</t>
  </si>
  <si>
    <t>P96659</t>
  </si>
  <si>
    <t>P96661</t>
  </si>
  <si>
    <t>P96664</t>
  </si>
  <si>
    <t>P96669</t>
  </si>
  <si>
    <t>P96671</t>
  </si>
  <si>
    <t>P96672</t>
  </si>
  <si>
    <t>P96673</t>
  </si>
  <si>
    <t>P96674</t>
  </si>
  <si>
    <t>P96675</t>
  </si>
  <si>
    <t>P96676</t>
  </si>
  <si>
    <t>P96678</t>
  </si>
  <si>
    <t>P96679</t>
  </si>
  <si>
    <t>P96680</t>
  </si>
  <si>
    <t>P96682</t>
  </si>
  <si>
    <t>P96683</t>
  </si>
  <si>
    <t>P96684</t>
  </si>
  <si>
    <t>P96686</t>
  </si>
  <si>
    <t>P96687</t>
  </si>
  <si>
    <t>P96688</t>
  </si>
  <si>
    <t>P96689</t>
  </si>
  <si>
    <t>P96690</t>
  </si>
  <si>
    <t>P96691</t>
  </si>
  <si>
    <t>P96692</t>
  </si>
  <si>
    <t>P96693</t>
  </si>
  <si>
    <t>P96694</t>
  </si>
  <si>
    <t>P96695</t>
  </si>
  <si>
    <t>P96696</t>
  </si>
  <si>
    <t>P96697</t>
  </si>
  <si>
    <t>P96698</t>
  </si>
  <si>
    <t>P96699</t>
  </si>
  <si>
    <t>P96700</t>
  </si>
  <si>
    <t>P96701</t>
  </si>
  <si>
    <t>P96702</t>
  </si>
  <si>
    <t>P96703</t>
  </si>
  <si>
    <t>P96704</t>
  </si>
  <si>
    <t>P96705</t>
  </si>
  <si>
    <t>P96706</t>
  </si>
  <si>
    <t>P96707</t>
  </si>
  <si>
    <t>P96708</t>
  </si>
  <si>
    <t>P96710</t>
  </si>
  <si>
    <t>P96711</t>
  </si>
  <si>
    <t>P96712</t>
  </si>
  <si>
    <t>P96713</t>
  </si>
  <si>
    <t>P96714</t>
  </si>
  <si>
    <t>P96715</t>
  </si>
  <si>
    <t>P96716</t>
  </si>
  <si>
    <t>P96717</t>
  </si>
  <si>
    <t>P96718</t>
  </si>
  <si>
    <t>P96719</t>
  </si>
  <si>
    <t>P96720</t>
  </si>
  <si>
    <t xml:space="preserve">Ball, Matthew </t>
  </si>
  <si>
    <t>Banks</t>
  </si>
  <si>
    <t xml:space="preserve">Barton, Mark </t>
  </si>
  <si>
    <t xml:space="preserve">Bernal, Marian </t>
  </si>
  <si>
    <t xml:space="preserve">Blunk, Zachary </t>
  </si>
  <si>
    <t>ZB</t>
  </si>
  <si>
    <t xml:space="preserve">Buchanon, Jeremy </t>
  </si>
  <si>
    <t xml:space="preserve">Cloyd, Michael </t>
  </si>
  <si>
    <t xml:space="preserve">Cox, David </t>
  </si>
  <si>
    <t>DC</t>
  </si>
  <si>
    <t xml:space="preserve">Felvey, Sara </t>
  </si>
  <si>
    <t>SF</t>
  </si>
  <si>
    <t xml:space="preserve">Gaskins, Drew </t>
  </si>
  <si>
    <t xml:space="preserve">Ginane, Heather </t>
  </si>
  <si>
    <t>HG</t>
  </si>
  <si>
    <t xml:space="preserve">Gray, Amanda </t>
  </si>
  <si>
    <t xml:space="preserve">Herteux, Camille </t>
  </si>
  <si>
    <t xml:space="preserve">Hinz, Mark </t>
  </si>
  <si>
    <t>MH</t>
  </si>
  <si>
    <t xml:space="preserve">Kahn, Amanda </t>
  </si>
  <si>
    <t xml:space="preserve">Kline, Michael </t>
  </si>
  <si>
    <t>MK</t>
  </si>
  <si>
    <t xml:space="preserve">Kominoski, John </t>
  </si>
  <si>
    <t xml:space="preserve">Lappert, James </t>
  </si>
  <si>
    <t xml:space="preserve">Lausted, Chase </t>
  </si>
  <si>
    <t xml:space="preserve">Mager, Kathleen </t>
  </si>
  <si>
    <t xml:space="preserve">Marbury, Andrew </t>
  </si>
  <si>
    <t xml:space="preserve">Moreo, Nathan </t>
  </si>
  <si>
    <t>NM</t>
  </si>
  <si>
    <t xml:space="preserve">Morrell, Kimberly </t>
  </si>
  <si>
    <t xml:space="preserve">Parsley, Philip </t>
  </si>
  <si>
    <t>PP</t>
  </si>
  <si>
    <t xml:space="preserve">Pravata, Stephanie </t>
  </si>
  <si>
    <t>TC/LRSTA_WEEKLY_NEW</t>
  </si>
  <si>
    <t xml:space="preserve">Wille, Patrick </t>
  </si>
  <si>
    <t xml:space="preserve">Wilson, Jessica </t>
  </si>
  <si>
    <t>JW</t>
  </si>
  <si>
    <t xml:space="preserve">Zeller, Mary </t>
  </si>
  <si>
    <t>ST1D</t>
  </si>
  <si>
    <t>ST1G</t>
  </si>
  <si>
    <t>ST1F</t>
  </si>
  <si>
    <t>102578</t>
  </si>
  <si>
    <t>YSI ProDSS17L102578 4 port</t>
  </si>
  <si>
    <t>TDSAL</t>
  </si>
  <si>
    <t>TDSAL (GR)</t>
  </si>
  <si>
    <t>SM 3120 B, Aluminun</t>
  </si>
  <si>
    <t>TDSFE</t>
  </si>
  <si>
    <t>TDSFE (GR)</t>
  </si>
  <si>
    <t>SM 3120 B, Iron</t>
  </si>
  <si>
    <t>DOC</t>
  </si>
  <si>
    <t>DOC (LB)</t>
  </si>
  <si>
    <t>EPA 415.1, Dissolved Org Carb</t>
  </si>
  <si>
    <t>TDPO4</t>
  </si>
  <si>
    <t>TDPO4 (LB)</t>
  </si>
  <si>
    <t>SM 4500PF, Tot. Dissolved P</t>
  </si>
  <si>
    <t>TDN</t>
  </si>
  <si>
    <t>TDN (LB)</t>
  </si>
  <si>
    <t>Total Dissolved Nitrogen</t>
  </si>
  <si>
    <t>TOC</t>
  </si>
  <si>
    <t>4C,SA</t>
  </si>
  <si>
    <t>TOC (MA)</t>
  </si>
  <si>
    <t>EPA 415.1, Total Org Carb</t>
  </si>
  <si>
    <t>TPO4 (MA)</t>
  </si>
  <si>
    <t>SM 4500PF, Total Phosphorus</t>
  </si>
  <si>
    <t>TN</t>
  </si>
  <si>
    <t>TN (MA)</t>
  </si>
  <si>
    <t>Total Nitrogen</t>
  </si>
  <si>
    <t>SIO2</t>
  </si>
  <si>
    <t>SIO2 (OR)</t>
  </si>
  <si>
    <t>SFWMD SOP 3120.1, Silica</t>
  </si>
  <si>
    <t>COLOR</t>
  </si>
  <si>
    <t>COLOR (OR)</t>
  </si>
  <si>
    <t>WATER</t>
  </si>
  <si>
    <t>Preservation Time Study ST34</t>
  </si>
  <si>
    <t>EX</t>
  </si>
  <si>
    <t>AControl-2</t>
  </si>
  <si>
    <t>BInv-Marl-1</t>
  </si>
  <si>
    <t>C1</t>
  </si>
  <si>
    <t>C10</t>
  </si>
  <si>
    <t>C11</t>
  </si>
  <si>
    <t>C12</t>
  </si>
  <si>
    <t>C13</t>
  </si>
  <si>
    <t>C14</t>
  </si>
  <si>
    <t>C15</t>
  </si>
  <si>
    <t>C16</t>
  </si>
  <si>
    <t>C17</t>
  </si>
  <si>
    <t>C18</t>
  </si>
  <si>
    <t>C19</t>
  </si>
  <si>
    <t>C2</t>
  </si>
  <si>
    <t>C20</t>
  </si>
  <si>
    <t>C21</t>
  </si>
  <si>
    <t>C22</t>
  </si>
  <si>
    <t>C23</t>
  </si>
  <si>
    <t>C24</t>
  </si>
  <si>
    <t>C25</t>
  </si>
  <si>
    <t>C26</t>
  </si>
  <si>
    <t>C27</t>
  </si>
  <si>
    <t>C28</t>
  </si>
  <si>
    <t>C29</t>
  </si>
  <si>
    <t>C3</t>
  </si>
  <si>
    <t>C30</t>
  </si>
  <si>
    <t>C31</t>
  </si>
  <si>
    <t>C32</t>
  </si>
  <si>
    <t>C33</t>
  </si>
  <si>
    <t>C34</t>
  </si>
  <si>
    <t>C35</t>
  </si>
  <si>
    <t>C36</t>
  </si>
  <si>
    <t>C37</t>
  </si>
  <si>
    <t>C38</t>
  </si>
  <si>
    <t>C39</t>
  </si>
  <si>
    <t>C4</t>
  </si>
  <si>
    <t>C40</t>
  </si>
  <si>
    <t>C5</t>
  </si>
  <si>
    <t>C6</t>
  </si>
  <si>
    <t>C7</t>
  </si>
  <si>
    <t>C8</t>
  </si>
  <si>
    <t>C9</t>
  </si>
  <si>
    <t>COOLERBLANK</t>
  </si>
  <si>
    <t>Control-1</t>
  </si>
  <si>
    <t>Control-2</t>
  </si>
  <si>
    <t>D1</t>
  </si>
  <si>
    <t>D2</t>
  </si>
  <si>
    <t>D3</t>
  </si>
  <si>
    <t>D4</t>
  </si>
  <si>
    <t>FCEB-1</t>
  </si>
  <si>
    <t>FCEB-2</t>
  </si>
  <si>
    <t>FCEB-3</t>
  </si>
  <si>
    <t>FCEB-4</t>
  </si>
  <si>
    <t>FCEB1</t>
  </si>
  <si>
    <t>FIU-MML</t>
  </si>
  <si>
    <t>G330D</t>
  </si>
  <si>
    <t>G333B</t>
  </si>
  <si>
    <t>G333B-D-COMP</t>
  </si>
  <si>
    <t>G333D</t>
  </si>
  <si>
    <t>G334</t>
  </si>
  <si>
    <t>Inv-Marl-1</t>
  </si>
  <si>
    <t>Inv-Marl-2</t>
  </si>
  <si>
    <t>Inv-Marl-3</t>
  </si>
  <si>
    <t>Inv-Marl-4</t>
  </si>
  <si>
    <t>Inv-Marl-5</t>
  </si>
  <si>
    <t>Inv-Marl-6</t>
  </si>
  <si>
    <t>Inv-Marl-7</t>
  </si>
  <si>
    <t>Inv-Marl-8A</t>
  </si>
  <si>
    <t>Inv-Marl-8B</t>
  </si>
  <si>
    <t>Inv-Marl-8C</t>
  </si>
  <si>
    <t>Inv-Peat-1</t>
  </si>
  <si>
    <t>Inv-Peat-2</t>
  </si>
  <si>
    <t>Inv-Peat-3</t>
  </si>
  <si>
    <t>Inv-Peat-4</t>
  </si>
  <si>
    <t>Inv-Peat-5</t>
  </si>
  <si>
    <t>Inv-Peat-6</t>
  </si>
  <si>
    <t>Inv-Peat-7</t>
  </si>
  <si>
    <t>Inv-Peat-8A</t>
  </si>
  <si>
    <t>Inv-Peat-8B</t>
  </si>
  <si>
    <t>Inv-Peat-8C</t>
  </si>
  <si>
    <t>PCEB</t>
  </si>
  <si>
    <t>Reflood-1</t>
  </si>
  <si>
    <t>Reflood-2</t>
  </si>
  <si>
    <t>S2B</t>
  </si>
  <si>
    <t>S2I</t>
  </si>
  <si>
    <t>S2M</t>
  </si>
  <si>
    <t>S2O</t>
  </si>
  <si>
    <t>S3B</t>
  </si>
  <si>
    <t>S3I</t>
  </si>
  <si>
    <t>S3M</t>
  </si>
  <si>
    <t>S3O</t>
  </si>
  <si>
    <t>ST2C1A120</t>
  </si>
  <si>
    <t>ST2C1A122</t>
  </si>
  <si>
    <t>ST2C1A156</t>
  </si>
  <si>
    <t>ST2C1A173</t>
  </si>
  <si>
    <t>ST2C1A207</t>
  </si>
  <si>
    <t>ST2C1A209</t>
  </si>
  <si>
    <t>ST2C1A3</t>
  </si>
  <si>
    <t>ST2C1A3-1</t>
  </si>
  <si>
    <t>ST2C1A3-2</t>
  </si>
  <si>
    <t>ST2C1A3-3</t>
  </si>
  <si>
    <t>ST2C1A3-4</t>
  </si>
  <si>
    <t>ST2C1A3-5</t>
  </si>
  <si>
    <t>ST2C1A3-6</t>
  </si>
  <si>
    <t>ST2C1A3-7</t>
  </si>
  <si>
    <t>ST2C1A3-8</t>
  </si>
  <si>
    <t>ST2C1A33</t>
  </si>
  <si>
    <t>ST2C1A35</t>
  </si>
  <si>
    <t>ST2C1A3_15cm</t>
  </si>
  <si>
    <t>ST2C1A3_7cm</t>
  </si>
  <si>
    <t>ST2C1A52</t>
  </si>
  <si>
    <t>ST2C1A86</t>
  </si>
  <si>
    <t>ST2C1AE1</t>
  </si>
  <si>
    <t>ST2C1AE2</t>
  </si>
  <si>
    <t>ST2C1AE3</t>
  </si>
  <si>
    <t>ST2C1AE4</t>
  </si>
  <si>
    <t>ST2C1AE5</t>
  </si>
  <si>
    <t>ST2C1AE6</t>
  </si>
  <si>
    <t>ST2C1AP1</t>
  </si>
  <si>
    <t>ST2C1AP2</t>
  </si>
  <si>
    <t>ST2C1AP3</t>
  </si>
  <si>
    <t>ST2C1AP4</t>
  </si>
  <si>
    <t>ST2C1AV</t>
  </si>
  <si>
    <t>ST2C1B2</t>
  </si>
  <si>
    <t>ST2C1BE1</t>
  </si>
  <si>
    <t>ST2C1BE2</t>
  </si>
  <si>
    <t>ST2C1BE3</t>
  </si>
  <si>
    <t>ST2C1BE4</t>
  </si>
  <si>
    <t>ST2C1BE5</t>
  </si>
  <si>
    <t>ST2C1BE6</t>
  </si>
  <si>
    <t>ST2C1BP1</t>
  </si>
  <si>
    <t>ST2C1BP2</t>
  </si>
  <si>
    <t>ST2C1BP3</t>
  </si>
  <si>
    <t>ST2C1BP4</t>
  </si>
  <si>
    <t>ST2C1BV</t>
  </si>
  <si>
    <t>ST2C1C</t>
  </si>
  <si>
    <t>ST2C1C3</t>
  </si>
  <si>
    <t>ST2C1C3-1</t>
  </si>
  <si>
    <t>ST2C1C3-2</t>
  </si>
  <si>
    <t>ST2C1CE1</t>
  </si>
  <si>
    <t>ST2C1CE2</t>
  </si>
  <si>
    <t>ST2C1CE3</t>
  </si>
  <si>
    <t>ST2C1CE4</t>
  </si>
  <si>
    <t>ST2C1CE5</t>
  </si>
  <si>
    <t>ST2C1CE6</t>
  </si>
  <si>
    <t>ST2C1COut</t>
  </si>
  <si>
    <t>ST2C1CP1</t>
  </si>
  <si>
    <t>ST2C1CP2</t>
  </si>
  <si>
    <t>ST2C1CP3</t>
  </si>
  <si>
    <t>ST2C1CP4</t>
  </si>
  <si>
    <t>ST2C1CV</t>
  </si>
  <si>
    <t>ST2C1F3</t>
  </si>
  <si>
    <t>ST2C1F3-1</t>
  </si>
  <si>
    <t>ST2C1F3-2</t>
  </si>
  <si>
    <t>ST2C1F3-3</t>
  </si>
  <si>
    <t>ST2C1F3-4</t>
  </si>
  <si>
    <t>ST2C1F3-5</t>
  </si>
  <si>
    <t>ST2C1F3-6</t>
  </si>
  <si>
    <t>ST2C1F3-7</t>
  </si>
  <si>
    <t>ST2C1F3-8</t>
  </si>
  <si>
    <t>ST2C1F3_15cm</t>
  </si>
  <si>
    <t>ST2C1F3_7cm</t>
  </si>
  <si>
    <t>ST2C1G2</t>
  </si>
  <si>
    <t>ST2C1G3</t>
  </si>
  <si>
    <t>ST2C1G3-1</t>
  </si>
  <si>
    <t>ST2C1G3-2</t>
  </si>
  <si>
    <t>ST2C1H2</t>
  </si>
  <si>
    <t>ST2C1H3</t>
  </si>
  <si>
    <t>ST2C1H3-1</t>
  </si>
  <si>
    <t>ST2C1H3-2</t>
  </si>
  <si>
    <t>ST2C1OUT</t>
  </si>
  <si>
    <t>ST2C1OUT-1</t>
  </si>
  <si>
    <t>ST2C1OUT-2</t>
  </si>
  <si>
    <t>ST2C1OUT-3</t>
  </si>
  <si>
    <t>ST2C1OUT-4</t>
  </si>
  <si>
    <t>ST2C1OUT-5</t>
  </si>
  <si>
    <t>ST2C1OUT-6</t>
  </si>
  <si>
    <t>ST2C1OUT-7</t>
  </si>
  <si>
    <t>ST2C1OUT-8</t>
  </si>
  <si>
    <t>ST2C1OUT_15cm</t>
  </si>
  <si>
    <t>ST2C1OUT_7cm</t>
  </si>
  <si>
    <t>ST2C2H1-4</t>
  </si>
  <si>
    <t>ST2C3A1</t>
  </si>
  <si>
    <t>ST2C3A1-3-5COMP</t>
  </si>
  <si>
    <t>ST2C3A2</t>
  </si>
  <si>
    <t>ST2C3A3</t>
  </si>
  <si>
    <t>ST2C3A4</t>
  </si>
  <si>
    <t>ST2C3A5</t>
  </si>
  <si>
    <t>ST2C3AE1</t>
  </si>
  <si>
    <t>ST2C3AE2</t>
  </si>
  <si>
    <t>ST2C3AE3</t>
  </si>
  <si>
    <t>ST2C3AE4</t>
  </si>
  <si>
    <t>ST2C3AE5</t>
  </si>
  <si>
    <t>ST2C3AE6</t>
  </si>
  <si>
    <t>ST2C3AP1</t>
  </si>
  <si>
    <t>ST2C3AP2</t>
  </si>
  <si>
    <t>ST2C3AP3</t>
  </si>
  <si>
    <t>ST2C3AP4</t>
  </si>
  <si>
    <t>ST2C3AV</t>
  </si>
  <si>
    <t>ST2C3B1</t>
  </si>
  <si>
    <t>ST2C3B1-3-5COMP</t>
  </si>
  <si>
    <t>ST2C3B1-5</t>
  </si>
  <si>
    <t>ST2C3B2</t>
  </si>
  <si>
    <t>ST2C3B3</t>
  </si>
  <si>
    <t>ST2C3B4</t>
  </si>
  <si>
    <t>ST2C3B5</t>
  </si>
  <si>
    <t>ST2C3BE1</t>
  </si>
  <si>
    <t>ST2C3BE2</t>
  </si>
  <si>
    <t>ST2C3BE3</t>
  </si>
  <si>
    <t>ST2C3BE4</t>
  </si>
  <si>
    <t>ST2C3BE5</t>
  </si>
  <si>
    <t>ST2C3BE6</t>
  </si>
  <si>
    <t>ST2C3BP1</t>
  </si>
  <si>
    <t>ST2C3BP2</t>
  </si>
  <si>
    <t>ST2C3BP3</t>
  </si>
  <si>
    <t>ST2C3BP4</t>
  </si>
  <si>
    <t>ST2C3BV</t>
  </si>
  <si>
    <t>ST2C3C1</t>
  </si>
  <si>
    <t>ST2C3C1-3-5COMP</t>
  </si>
  <si>
    <t>ST2C3C128</t>
  </si>
  <si>
    <t>ST2C3C128-1</t>
  </si>
  <si>
    <t>ST2C3C128-2</t>
  </si>
  <si>
    <t>ST2C3C128-3</t>
  </si>
  <si>
    <t>ST2C3C128-4</t>
  </si>
  <si>
    <t>ST2C3C128-5</t>
  </si>
  <si>
    <t>ST2C3C128-6</t>
  </si>
  <si>
    <t>ST2C3C128-7</t>
  </si>
  <si>
    <t>ST2C3C128-8</t>
  </si>
  <si>
    <t>ST2C3C128_PERI</t>
  </si>
  <si>
    <t>ST2C3C164</t>
  </si>
  <si>
    <t>ST2C3C2</t>
  </si>
  <si>
    <t>ST2C3C20</t>
  </si>
  <si>
    <t>ST2C3C20-1</t>
  </si>
  <si>
    <t>ST2C3C20-2</t>
  </si>
  <si>
    <t>ST2C3C20-3</t>
  </si>
  <si>
    <t>ST2C3C20-4</t>
  </si>
  <si>
    <t>ST2C3C20-5</t>
  </si>
  <si>
    <t>ST2C3C20-6</t>
  </si>
  <si>
    <t>ST2C3C20-7</t>
  </si>
  <si>
    <t>ST2C3C20-8</t>
  </si>
  <si>
    <t>ST2C3C200</t>
  </si>
  <si>
    <t>ST2C3C200-1</t>
  </si>
  <si>
    <t>ST2C3C200-2</t>
  </si>
  <si>
    <t>ST2C3C200-3</t>
  </si>
  <si>
    <t>ST2C3C200-4</t>
  </si>
  <si>
    <t>ST2C3C200-5</t>
  </si>
  <si>
    <t>ST2C3C200-6</t>
  </si>
  <si>
    <t>ST2C3C200-7</t>
  </si>
  <si>
    <t>ST2C3C200-8</t>
  </si>
  <si>
    <t>ST2C3C200_PERI</t>
  </si>
  <si>
    <t>ST2C3C20_PERI</t>
  </si>
  <si>
    <t>ST2C3C3</t>
  </si>
  <si>
    <t>ST2C3C4</t>
  </si>
  <si>
    <t>ST2C3C5</t>
  </si>
  <si>
    <t>ST2C3C56</t>
  </si>
  <si>
    <t>ST2C3C92</t>
  </si>
  <si>
    <t>ST2C3CE1</t>
  </si>
  <si>
    <t>ST2C3CE2</t>
  </si>
  <si>
    <t>ST2C3CE3</t>
  </si>
  <si>
    <t>ST2C3CE4</t>
  </si>
  <si>
    <t>ST2C3CE5</t>
  </si>
  <si>
    <t>ST2C3CE6</t>
  </si>
  <si>
    <t>ST2C3CP1</t>
  </si>
  <si>
    <t>ST2C3CP2</t>
  </si>
  <si>
    <t>ST2C3CP3</t>
  </si>
  <si>
    <t>ST2C3CP4</t>
  </si>
  <si>
    <t>ST2C3CV</t>
  </si>
  <si>
    <t>ST2C3D1</t>
  </si>
  <si>
    <t>ST2C3D1-3</t>
  </si>
  <si>
    <t>ST2C3D2</t>
  </si>
  <si>
    <t>ST2C3D2UNVEG</t>
  </si>
  <si>
    <t>ST2C3D2VEG</t>
  </si>
  <si>
    <t>ST2C3D3</t>
  </si>
  <si>
    <t>ST2C3E1</t>
  </si>
  <si>
    <t>ST2C3E1-2-3COMP</t>
  </si>
  <si>
    <t>ST2C3E2</t>
  </si>
  <si>
    <t>ST2C3E3</t>
  </si>
  <si>
    <t>ST2C3F1</t>
  </si>
  <si>
    <t>ST2C3F1-3</t>
  </si>
  <si>
    <t>ST2C3F2</t>
  </si>
  <si>
    <t>ST2C3F3</t>
  </si>
  <si>
    <t>ST2C3G1</t>
  </si>
  <si>
    <t>ST2C3G1-2-4COMP</t>
  </si>
  <si>
    <t>ST2C3G2</t>
  </si>
  <si>
    <t>ST2C3G3</t>
  </si>
  <si>
    <t>ST2C3G333DUNVEG</t>
  </si>
  <si>
    <t>ST2C3G333DVEG</t>
  </si>
  <si>
    <t>ST2C3G4</t>
  </si>
  <si>
    <t>ST2C3H1</t>
  </si>
  <si>
    <t>ST2C3H2</t>
  </si>
  <si>
    <t>ST2C3H3</t>
  </si>
  <si>
    <t>ST2C3H4</t>
  </si>
  <si>
    <t>ST2C3I1</t>
  </si>
  <si>
    <t>ST2C3I1-2-4COMP</t>
  </si>
  <si>
    <t>ST2C3I2</t>
  </si>
  <si>
    <t>ST2C3I2VEG</t>
  </si>
  <si>
    <t>ST2C3I3</t>
  </si>
  <si>
    <t>ST2C3I3VEG</t>
  </si>
  <si>
    <t>ST2C3I4</t>
  </si>
  <si>
    <t>ST2C3I5</t>
  </si>
  <si>
    <t>ST2C3IN-1</t>
  </si>
  <si>
    <t>ST2C3IN-2</t>
  </si>
  <si>
    <t>ST2C3IN-3</t>
  </si>
  <si>
    <t>ST2C3IN-4</t>
  </si>
  <si>
    <t>ST2C3IN-5</t>
  </si>
  <si>
    <t>ST2C3IN-6</t>
  </si>
  <si>
    <t>ST2C3IN-7</t>
  </si>
  <si>
    <t>ST2C3IN-8</t>
  </si>
  <si>
    <t>ST2C3INF</t>
  </si>
  <si>
    <t>ST2C3MID</t>
  </si>
  <si>
    <t>ST2C3MID-1</t>
  </si>
  <si>
    <t>ST2C3MID-2</t>
  </si>
  <si>
    <t>ST2C3MID-3</t>
  </si>
  <si>
    <t>ST2C3MID-4</t>
  </si>
  <si>
    <t>ST2C3MID-5</t>
  </si>
  <si>
    <t>ST2C3MID-6</t>
  </si>
  <si>
    <t>ST2C3MID-7</t>
  </si>
  <si>
    <t>ST2C3MID-8</t>
  </si>
  <si>
    <t>ST2C3OUT</t>
  </si>
  <si>
    <t>ST2C3OUT-1</t>
  </si>
  <si>
    <t>ST2C3OUT-2</t>
  </si>
  <si>
    <t>ST2C3OUT-3</t>
  </si>
  <si>
    <t>ST2C3OUT-4</t>
  </si>
  <si>
    <t>ST2C3OUT-5</t>
  </si>
  <si>
    <t>ST2C3OUT-6</t>
  </si>
  <si>
    <t>ST2C3OUT-7</t>
  </si>
  <si>
    <t>ST2C3OUT-8</t>
  </si>
  <si>
    <t>ST2CB1-5</t>
  </si>
  <si>
    <t>ST34C3AA16</t>
  </si>
  <si>
    <t>ST34C3AA16-1</t>
  </si>
  <si>
    <t>ST34C3AA16-2</t>
  </si>
  <si>
    <t>ST34C3AA16-3</t>
  </si>
  <si>
    <t>ST34C3AA16-4</t>
  </si>
  <si>
    <t>ST34C3AA20</t>
  </si>
  <si>
    <t>ST34C3AA20-1</t>
  </si>
  <si>
    <t>ST34C3AA20-2</t>
  </si>
  <si>
    <t>ST34C3AA20-3</t>
  </si>
  <si>
    <t>ST34C3AA20-4</t>
  </si>
  <si>
    <t>ST34C3AA23</t>
  </si>
  <si>
    <t>ST34C3AA23-1</t>
  </si>
  <si>
    <t>ST34C3AA23-2</t>
  </si>
  <si>
    <t>ST34C3AA23-3</t>
  </si>
  <si>
    <t>ST34C3AA23-4</t>
  </si>
  <si>
    <t>ST34C3AA52</t>
  </si>
  <si>
    <t>ST34C3AA52-1</t>
  </si>
  <si>
    <t>ST34C3AA52-2</t>
  </si>
  <si>
    <t>ST34C3AA52-3</t>
  </si>
  <si>
    <t>ST34C3AA52-4</t>
  </si>
  <si>
    <t>ST34C3AA56</t>
  </si>
  <si>
    <t>ST34C3AA56-1</t>
  </si>
  <si>
    <t>ST34C3AA56-2</t>
  </si>
  <si>
    <t>ST34C3AA56-3</t>
  </si>
  <si>
    <t>ST34C3AA56-4</t>
  </si>
  <si>
    <t>ST34C3AA59</t>
  </si>
  <si>
    <t>ST34C3AA59-1</t>
  </si>
  <si>
    <t>ST34C3AA59-2</t>
  </si>
  <si>
    <t>ST34C3AA59-3</t>
  </si>
  <si>
    <t>ST34C3AA59-4</t>
  </si>
  <si>
    <t>ST34C3AE1</t>
  </si>
  <si>
    <t>ST34C3AE2</t>
  </si>
  <si>
    <t>ST34C3AE3</t>
  </si>
  <si>
    <t>ST34C3AE4</t>
  </si>
  <si>
    <t>ST34C3AE5</t>
  </si>
  <si>
    <t>ST34C3AE6</t>
  </si>
  <si>
    <t>ST34C3AP1</t>
  </si>
  <si>
    <t>ST34C3AP2</t>
  </si>
  <si>
    <t>ST34C3AP3</t>
  </si>
  <si>
    <t>ST34C3AP4</t>
  </si>
  <si>
    <t>ST34C3AV</t>
  </si>
  <si>
    <t>ST34C3BB11</t>
  </si>
  <si>
    <t>ST34C3BB11-1</t>
  </si>
  <si>
    <t>ST34C3BB11-2</t>
  </si>
  <si>
    <t>ST34C3BB11-3</t>
  </si>
  <si>
    <t>ST34C3BB11-4</t>
  </si>
  <si>
    <t>ST34C3BB3</t>
  </si>
  <si>
    <t>ST34C3BB3-1</t>
  </si>
  <si>
    <t>ST34C3BB3-2</t>
  </si>
  <si>
    <t>ST34C3BB3-3</t>
  </si>
  <si>
    <t>ST34C3BB3-4</t>
  </si>
  <si>
    <t>ST34C3BB7</t>
  </si>
  <si>
    <t>ST34C3BB7-1</t>
  </si>
  <si>
    <t>ST34C3BB7-2</t>
  </si>
  <si>
    <t>ST34C3BB7-3</t>
  </si>
  <si>
    <t>ST34C3BB7-4</t>
  </si>
  <si>
    <t>ST34C3BB8</t>
  </si>
  <si>
    <t>ST34C3BD11</t>
  </si>
  <si>
    <t>ST34C3BD11-1</t>
  </si>
  <si>
    <t>ST34C3BD11-2</t>
  </si>
  <si>
    <t>ST34C3BD11-3</t>
  </si>
  <si>
    <t>ST34C3BD11-4</t>
  </si>
  <si>
    <t>ST34C3BD3</t>
  </si>
  <si>
    <t>ST34C3BD3-1</t>
  </si>
  <si>
    <t>ST34C3BD3-2</t>
  </si>
  <si>
    <t>ST34C3BD3-3</t>
  </si>
  <si>
    <t>ST34C3BD3-4</t>
  </si>
  <si>
    <t>ST34C3BD7</t>
  </si>
  <si>
    <t>ST34C3BD7-1</t>
  </si>
  <si>
    <t>ST34C3BD7-2</t>
  </si>
  <si>
    <t>ST34C3BD7-3</t>
  </si>
  <si>
    <t>ST34C3BD7-4</t>
  </si>
  <si>
    <t>ST34C3BE1</t>
  </si>
  <si>
    <t>ST34C3BE2</t>
  </si>
  <si>
    <t>ST34C3BE3</t>
  </si>
  <si>
    <t>ST34C3BE4</t>
  </si>
  <si>
    <t>ST34C3BE5</t>
  </si>
  <si>
    <t>ST34C3BE6</t>
  </si>
  <si>
    <t>ST34C3BP1</t>
  </si>
  <si>
    <t>ST34C3BP2</t>
  </si>
  <si>
    <t>ST34C3BP3</t>
  </si>
  <si>
    <t>ST34C3BP4</t>
  </si>
  <si>
    <t>ST34C3BV</t>
  </si>
  <si>
    <t>ST34C3CE1</t>
  </si>
  <si>
    <t>ST34C3CE2</t>
  </si>
  <si>
    <t>ST34C3CE3</t>
  </si>
  <si>
    <t>ST34C3CE4</t>
  </si>
  <si>
    <t>ST34C3CE5</t>
  </si>
  <si>
    <t>ST34C3CE6</t>
  </si>
  <si>
    <t>ST34C3CP1</t>
  </si>
  <si>
    <t>ST34C3CP2</t>
  </si>
  <si>
    <t>ST34C3CP3</t>
  </si>
  <si>
    <t>ST34C3CP4</t>
  </si>
  <si>
    <t>ST34C3CV</t>
  </si>
  <si>
    <t>ST34WINF</t>
  </si>
  <si>
    <t>ST34WMID</t>
  </si>
  <si>
    <t>ST34WOUT</t>
  </si>
  <si>
    <t>TEST1</t>
  </si>
  <si>
    <t>TEST10</t>
  </si>
  <si>
    <t>TEST11</t>
  </si>
  <si>
    <t>TEST12</t>
  </si>
  <si>
    <t>TEST13</t>
  </si>
  <si>
    <t>TEST14</t>
  </si>
  <si>
    <t>TEST15</t>
  </si>
  <si>
    <t>TEST2</t>
  </si>
  <si>
    <t>TEST3</t>
  </si>
  <si>
    <t>TEST4</t>
  </si>
  <si>
    <t>TEST5</t>
  </si>
  <si>
    <t>TEST6</t>
  </si>
  <si>
    <t>TEST7</t>
  </si>
  <si>
    <t>TEST8</t>
  </si>
  <si>
    <t>TEST9</t>
  </si>
  <si>
    <t>TRANSWATER-1</t>
  </si>
  <si>
    <t>TRANSWATER-2</t>
  </si>
  <si>
    <t>TRANSWATER-3</t>
  </si>
  <si>
    <t>Untilled-1</t>
  </si>
  <si>
    <t>Untilled-2</t>
  </si>
  <si>
    <t>Untilled-3</t>
  </si>
  <si>
    <t>Untilled-4</t>
  </si>
  <si>
    <t>Untilled-5</t>
  </si>
  <si>
    <t>Untilled-6</t>
  </si>
  <si>
    <t>Untilled-7</t>
  </si>
  <si>
    <t>Untilled-8A</t>
  </si>
  <si>
    <t>Untilled-8B</t>
  </si>
  <si>
    <t>Untilled-8C</t>
  </si>
  <si>
    <t>P96682-1</t>
  </si>
  <si>
    <t>P96682-2</t>
  </si>
  <si>
    <t>P96682-3</t>
  </si>
  <si>
    <t>P96682-4</t>
  </si>
  <si>
    <t>P96682-5</t>
  </si>
  <si>
    <t>P96682-6</t>
  </si>
  <si>
    <t>P96682-7</t>
  </si>
  <si>
    <t>Weekly</t>
  </si>
  <si>
    <t>Grabs, Process</t>
  </si>
  <si>
    <t>NV</t>
  </si>
  <si>
    <t>250</t>
  </si>
  <si>
    <t>120</t>
  </si>
  <si>
    <t>60</t>
  </si>
  <si>
    <t>184525</t>
  </si>
  <si>
    <t>187388</t>
  </si>
  <si>
    <t>24/24</t>
  </si>
  <si>
    <t>18/18</t>
  </si>
  <si>
    <t>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</si>
</sst>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d\,\ mmmm\ dd\,\ yyyy\ hh:mm"/>
    <numFmt numFmtId="165" formatCode="m/d/yyyy\ h:mm:ss\ AM/PM"/>
  </numFmts>
  <fonts count="42" x14ac:knownFonts="1">
    <font>
      <sz val="10"/>
      <name val="Arial"/>
    </font>
    <font>
      <sz val="8"/>
      <name val="Arial"/>
      <family val="2"/>
    </font>
    <font>
      <sz val="1"/>
      <color indexed="9"/>
      <name val="Arial"/>
      <family val="2"/>
    </font>
    <font>
      <b/>
      <sz val="8"/>
      <name val="Arial"/>
      <family val="2"/>
    </font>
    <font>
      <sz val="10"/>
      <name val="Arial"/>
      <family val="2"/>
    </font>
    <font>
      <b/>
      <sz val="10"/>
      <name val="Arial"/>
      <family val="2"/>
    </font>
    <font>
      <b/>
      <sz val="8"/>
      <color indexed="12"/>
      <name val="Arial"/>
      <family val="2"/>
    </font>
    <font>
      <b/>
      <sz val="8"/>
      <color indexed="81"/>
      <name val="Tahoma"/>
      <family val="2"/>
    </font>
    <font>
      <sz val="8"/>
      <color indexed="81"/>
      <name val="Tahoma"/>
      <family val="2"/>
    </font>
    <font>
      <sz val="8"/>
      <color indexed="55"/>
      <name val="Arial"/>
      <family val="2"/>
    </font>
    <font>
      <b/>
      <sz val="8"/>
      <color indexed="18"/>
      <name val="Arial"/>
      <family val="2"/>
    </font>
    <font>
      <sz val="8"/>
      <color indexed="22"/>
      <name val="Arial"/>
      <family val="2"/>
    </font>
    <font>
      <b/>
      <sz val="8"/>
      <color indexed="10"/>
      <name val="Arial"/>
      <family val="2"/>
    </font>
    <font>
      <b/>
      <sz val="10"/>
      <color indexed="62"/>
      <name val="Arial"/>
      <family val="2"/>
    </font>
    <font>
      <sz val="8"/>
      <color indexed="8"/>
      <name val="Arial"/>
      <family val="2"/>
    </font>
    <font>
      <b/>
      <sz val="8"/>
      <color indexed="8"/>
      <name val="Arial"/>
      <family val="2"/>
    </font>
    <font>
      <b/>
      <sz val="24"/>
      <color indexed="62"/>
      <name val="Arial"/>
      <family val="2"/>
    </font>
    <font>
      <sz val="10"/>
      <color indexed="9"/>
      <name val="Arial"/>
      <family val="2"/>
    </font>
    <font>
      <sz val="8"/>
      <color indexed="62"/>
      <name val="Arial"/>
      <family val="2"/>
    </font>
    <font>
      <b/>
      <sz val="8"/>
      <color indexed="62"/>
      <name val="Arial"/>
      <family val="2"/>
    </font>
    <font>
      <b/>
      <sz val="12"/>
      <name val="Times New Roman"/>
      <family val="1"/>
    </font>
    <font>
      <b/>
      <sz val="10"/>
      <name val="Times New Roman"/>
      <family val="1"/>
    </font>
    <font>
      <sz val="10"/>
      <name val="Times New Roman"/>
      <family val="1"/>
    </font>
    <font>
      <sz val="12"/>
      <name val="Times New Roman"/>
      <family val="1"/>
    </font>
    <font>
      <b/>
      <sz val="10"/>
      <color indexed="10"/>
      <name val="Times New Roman"/>
      <family val="1"/>
    </font>
    <font>
      <sz val="10"/>
      <color indexed="8"/>
      <name val="Times New Roman"/>
      <family val="1"/>
    </font>
    <font>
      <b/>
      <u/>
      <sz val="8"/>
      <name val="Arial"/>
      <family val="2"/>
    </font>
    <font>
      <sz val="8"/>
      <color indexed="12"/>
      <name val="Arial"/>
      <family val="2"/>
    </font>
    <font>
      <b/>
      <sz val="8"/>
      <color indexed="55"/>
      <name val="Arial"/>
      <family val="2"/>
    </font>
    <font>
      <sz val="8"/>
      <color indexed="63"/>
      <name val="Arial"/>
      <family val="2"/>
    </font>
    <font>
      <b/>
      <sz val="8"/>
      <name val="Times New Roman"/>
      <family val="1"/>
    </font>
    <font>
      <b/>
      <i/>
      <sz val="8"/>
      <name val="Arial"/>
      <family val="2"/>
    </font>
    <font>
      <sz val="8"/>
      <color indexed="62"/>
      <name val="Calibri"/>
      <family val="2"/>
    </font>
    <font>
      <sz val="8"/>
      <color indexed="17"/>
      <name val="Arial"/>
      <family val="2"/>
    </font>
    <font>
      <sz val="9"/>
      <color indexed="81"/>
      <name val="Tahoma"/>
      <family val="2"/>
    </font>
    <font>
      <sz val="8"/>
      <color indexed="10"/>
      <name val="Arial"/>
      <family val="2"/>
    </font>
    <font>
      <sz val="26"/>
      <name val="Arial"/>
      <family val="2"/>
    </font>
    <font>
      <sz val="8"/>
      <color theme="4" tint="-0.249977111117893"/>
      <name val="Arial"/>
      <family val="2"/>
    </font>
    <font>
      <sz val="10"/>
      <color theme="4" tint="-0.249977111117893"/>
      <name val="Arial"/>
      <family val="2"/>
    </font>
    <font>
      <b/>
      <sz val="8"/>
      <color theme="4" tint="-0.249977111117893"/>
      <name val="Arial"/>
      <family val="2"/>
    </font>
    <font>
      <b/>
      <sz val="10"/>
      <color theme="4" tint="-0.249977111117893"/>
      <name val="Arial"/>
      <family val="2"/>
    </font>
    <font>
      <sz val="7.5"/>
      <color theme="4" tint="-0.249977111117893"/>
      <name val="Arial"/>
      <family val="2"/>
    </font>
  </fonts>
  <fills count="15">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indexed="22"/>
        <bgColor indexed="64"/>
      </patternFill>
    </fill>
    <fill>
      <patternFill patternType="solid">
        <fgColor indexed="13"/>
        <bgColor indexed="64"/>
      </patternFill>
    </fill>
    <fill>
      <patternFill patternType="solid">
        <fgColor indexed="57"/>
        <bgColor indexed="64"/>
      </patternFill>
    </fill>
    <fill>
      <patternFill patternType="solid">
        <fgColor indexed="44"/>
        <bgColor indexed="64"/>
      </patternFill>
    </fill>
    <fill>
      <patternFill patternType="solid">
        <fgColor indexed="46"/>
        <bgColor indexed="64"/>
      </patternFill>
    </fill>
    <fill>
      <patternFill patternType="solid">
        <fgColor indexed="48"/>
        <bgColor indexed="64"/>
      </patternFill>
    </fill>
    <fill>
      <patternFill patternType="solid">
        <fgColor indexed="42"/>
        <bgColor indexed="64"/>
      </patternFill>
    </fill>
    <fill>
      <patternFill patternType="solid">
        <fgColor indexed="61"/>
        <bgColor indexed="64"/>
      </patternFill>
    </fill>
    <fill>
      <patternFill patternType="solid">
        <fgColor indexed="65"/>
        <bgColor indexed="64"/>
      </patternFill>
    </fill>
    <fill>
      <patternFill patternType="solid">
        <fgColor indexed="63"/>
        <bgColor indexed="64"/>
      </patternFill>
    </fill>
    <fill>
      <patternFill patternType="solid">
        <fgColor indexed="10"/>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double">
        <color indexed="64"/>
      </left>
      <right/>
      <top/>
      <bottom style="medium">
        <color indexed="64"/>
      </bottom>
      <diagonal/>
    </border>
    <border>
      <left style="double">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style="thin">
        <color indexed="64"/>
      </bottom>
      <diagonal/>
    </border>
    <border>
      <left/>
      <right style="thin">
        <color indexed="64"/>
      </right>
      <top/>
      <bottom style="double">
        <color indexed="64"/>
      </bottom>
      <diagonal/>
    </border>
    <border>
      <left style="double">
        <color indexed="64"/>
      </left>
      <right/>
      <top style="thin">
        <color indexed="64"/>
      </top>
      <bottom/>
      <diagonal/>
    </border>
    <border>
      <left style="double">
        <color indexed="64"/>
      </left>
      <right/>
      <top/>
      <bottom/>
      <diagonal/>
    </border>
    <border>
      <left style="thin">
        <color indexed="64"/>
      </left>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thin">
        <color indexed="64"/>
      </right>
      <top style="thin">
        <color indexed="64"/>
      </top>
      <bottom style="thick">
        <color indexed="64"/>
      </bottom>
      <diagonal/>
    </border>
    <border>
      <left/>
      <right style="thin">
        <color indexed="64"/>
      </right>
      <top/>
      <bottom/>
      <diagonal/>
    </border>
    <border>
      <left/>
      <right style="thin">
        <color indexed="64"/>
      </right>
      <top/>
      <bottom style="thick">
        <color indexed="64"/>
      </bottom>
      <diagonal/>
    </border>
    <border>
      <left style="thin">
        <color indexed="64"/>
      </left>
      <right/>
      <top/>
      <bottom style="thick">
        <color indexed="64"/>
      </bottom>
      <diagonal/>
    </border>
    <border>
      <left style="thin">
        <color indexed="64"/>
      </left>
      <right style="thin">
        <color indexed="64"/>
      </right>
      <top/>
      <bottom/>
      <diagonal/>
    </border>
    <border>
      <left style="medium">
        <color indexed="64"/>
      </left>
      <right/>
      <top/>
      <bottom style="thin">
        <color indexed="64"/>
      </bottom>
      <diagonal/>
    </border>
    <border>
      <left/>
      <right style="thin">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thin">
        <color indexed="64"/>
      </top>
      <bottom style="thin">
        <color indexed="64"/>
      </bottom>
      <diagonal/>
    </border>
    <border>
      <left/>
      <right style="double">
        <color indexed="64"/>
      </right>
      <top style="double">
        <color indexed="64"/>
      </top>
      <bottom style="thin">
        <color indexed="64"/>
      </bottom>
      <diagonal/>
    </border>
    <border>
      <left/>
      <right/>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top/>
      <bottom style="medium">
        <color indexed="64"/>
      </bottom>
      <diagonal/>
    </border>
    <border>
      <left/>
      <right style="double">
        <color indexed="64"/>
      </right>
      <top style="medium">
        <color indexed="64"/>
      </top>
      <bottom style="medium">
        <color indexed="64"/>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right style="double">
        <color indexed="64"/>
      </right>
      <top style="double">
        <color indexed="64"/>
      </top>
      <bottom style="medium">
        <color indexed="64"/>
      </bottom>
      <diagonal/>
    </border>
    <border>
      <left/>
      <right style="thin">
        <color indexed="64"/>
      </right>
      <top style="thin">
        <color indexed="64"/>
      </top>
      <bottom style="double">
        <color indexed="64"/>
      </bottom>
      <diagonal/>
    </border>
    <border>
      <left/>
      <right/>
      <top/>
      <bottom style="medium">
        <color theme="4" tint="-0.249977111117893"/>
      </bottom>
      <diagonal/>
    </border>
  </borders>
  <cellStyleXfs count="3">
    <xf numFmtId="0" fontId="0" fillId="0" borderId="0"/>
    <xf numFmtId="0" fontId="4" fillId="0" borderId="0"/>
    <xf numFmtId="0" fontId="4" fillId="0" borderId="0"/>
  </cellStyleXfs>
  <cellXfs count="364">
    <xf numFmtId="0" fontId="0" fillId="0" borderId="0" xfId="0"/>
    <xf numFmtId="0" fontId="1" fillId="0" borderId="0" xfId="0" applyFont="1" applyAlignment="1"/>
    <xf numFmtId="0" fontId="1" fillId="0" borderId="0" xfId="0" applyFont="1"/>
    <xf numFmtId="0" fontId="1" fillId="0" borderId="0" xfId="0" applyFont="1" applyBorder="1"/>
    <xf numFmtId="0" fontId="0" fillId="0" borderId="0" xfId="0" applyProtection="1">
      <protection locked="0"/>
    </xf>
    <xf numFmtId="0" fontId="4" fillId="0" borderId="0" xfId="0" applyFont="1" applyFill="1" applyProtection="1">
      <protection locked="0"/>
    </xf>
    <xf numFmtId="0" fontId="5" fillId="0" borderId="0" xfId="0" applyFont="1" applyAlignment="1">
      <alignment horizontal="right"/>
    </xf>
    <xf numFmtId="0" fontId="0" fillId="0" borderId="0" xfId="0" applyFill="1" applyBorder="1" applyAlignment="1"/>
    <xf numFmtId="0" fontId="1" fillId="0" borderId="1" xfId="0" applyFont="1" applyBorder="1"/>
    <xf numFmtId="0" fontId="1" fillId="2" borderId="1" xfId="0" applyFont="1" applyFill="1" applyBorder="1"/>
    <xf numFmtId="0" fontId="3" fillId="3" borderId="1" xfId="0" applyFont="1" applyFill="1" applyBorder="1"/>
    <xf numFmtId="0" fontId="3" fillId="0" borderId="0" xfId="0" applyFont="1"/>
    <xf numFmtId="0" fontId="1" fillId="0" borderId="0" xfId="0" applyFont="1" applyAlignment="1">
      <alignment horizontal="right"/>
    </xf>
    <xf numFmtId="0" fontId="3" fillId="0" borderId="0" xfId="0" applyFont="1" applyFill="1" applyBorder="1" applyAlignment="1">
      <alignment horizontal="right"/>
    </xf>
    <xf numFmtId="0" fontId="1" fillId="0" borderId="0" xfId="0" applyFont="1" applyFill="1" applyBorder="1" applyAlignment="1">
      <alignment horizontal="right"/>
    </xf>
    <xf numFmtId="0" fontId="3" fillId="4" borderId="1" xfId="0" applyFont="1" applyFill="1" applyBorder="1"/>
    <xf numFmtId="0" fontId="1" fillId="5" borderId="1" xfId="0" applyFont="1" applyFill="1" applyBorder="1"/>
    <xf numFmtId="0" fontId="1" fillId="6" borderId="1" xfId="0" applyFont="1" applyFill="1" applyBorder="1"/>
    <xf numFmtId="0" fontId="1" fillId="7" borderId="1" xfId="0" applyFont="1" applyFill="1" applyBorder="1"/>
    <xf numFmtId="0" fontId="1" fillId="8" borderId="1" xfId="0" applyFont="1" applyFill="1" applyBorder="1"/>
    <xf numFmtId="0" fontId="1" fillId="9" borderId="1" xfId="0" applyFont="1" applyFill="1" applyBorder="1"/>
    <xf numFmtId="0" fontId="1" fillId="4" borderId="1" xfId="0" applyFont="1" applyFill="1" applyBorder="1"/>
    <xf numFmtId="0" fontId="1" fillId="0" borderId="1" xfId="0" applyFont="1" applyBorder="1" applyAlignment="1">
      <alignment horizontal="left"/>
    </xf>
    <xf numFmtId="0" fontId="1" fillId="0" borderId="2" xfId="0" applyFont="1" applyBorder="1" applyAlignment="1">
      <alignment horizontal="left"/>
    </xf>
    <xf numFmtId="0" fontId="9" fillId="10" borderId="0" xfId="0" applyFont="1" applyFill="1" applyBorder="1" applyAlignment="1">
      <alignment horizontal="right"/>
    </xf>
    <xf numFmtId="0" fontId="3" fillId="10" borderId="1" xfId="0" applyFont="1" applyFill="1" applyBorder="1" applyAlignment="1">
      <alignment horizontal="right"/>
    </xf>
    <xf numFmtId="0" fontId="6" fillId="4" borderId="1" xfId="0" applyFont="1" applyFill="1" applyBorder="1"/>
    <xf numFmtId="0" fontId="1" fillId="5" borderId="1" xfId="0" quotePrefix="1" applyFont="1" applyFill="1" applyBorder="1"/>
    <xf numFmtId="0" fontId="1" fillId="8" borderId="1" xfId="0" quotePrefix="1" applyFont="1" applyFill="1" applyBorder="1"/>
    <xf numFmtId="0" fontId="1" fillId="3" borderId="1" xfId="0" applyFont="1" applyFill="1" applyBorder="1"/>
    <xf numFmtId="0" fontId="3" fillId="7" borderId="3" xfId="0" applyFont="1" applyFill="1" applyBorder="1"/>
    <xf numFmtId="0" fontId="1" fillId="7" borderId="4" xfId="0" applyFont="1" applyFill="1" applyBorder="1"/>
    <xf numFmtId="0" fontId="1" fillId="7" borderId="5" xfId="0" applyFont="1" applyFill="1" applyBorder="1"/>
    <xf numFmtId="22" fontId="1" fillId="3" borderId="1" xfId="0" applyNumberFormat="1" applyFont="1" applyFill="1" applyBorder="1"/>
    <xf numFmtId="22" fontId="1" fillId="5" borderId="1" xfId="0" applyNumberFormat="1" applyFont="1" applyFill="1" applyBorder="1"/>
    <xf numFmtId="0" fontId="3" fillId="0" borderId="1" xfId="0" applyFont="1" applyBorder="1"/>
    <xf numFmtId="0" fontId="1" fillId="7" borderId="6" xfId="0" applyFont="1" applyFill="1" applyBorder="1"/>
    <xf numFmtId="0" fontId="1" fillId="0" borderId="2" xfId="0" applyFont="1" applyBorder="1"/>
    <xf numFmtId="0" fontId="1" fillId="3" borderId="7" xfId="0" applyFont="1" applyFill="1" applyBorder="1"/>
    <xf numFmtId="0" fontId="12" fillId="0" borderId="1" xfId="0" applyFont="1" applyBorder="1" applyAlignment="1">
      <alignment horizontal="center"/>
    </xf>
    <xf numFmtId="0" fontId="3" fillId="3" borderId="1" xfId="0" applyFont="1" applyFill="1" applyBorder="1" applyAlignment="1">
      <alignment horizontal="center"/>
    </xf>
    <xf numFmtId="0" fontId="10" fillId="0" borderId="1" xfId="0" applyFont="1" applyBorder="1" applyAlignment="1">
      <alignment horizontal="center"/>
    </xf>
    <xf numFmtId="0" fontId="1" fillId="9" borderId="1" xfId="0" quotePrefix="1" applyFont="1" applyFill="1" applyBorder="1"/>
    <xf numFmtId="0" fontId="4" fillId="0" borderId="0" xfId="0" applyFont="1"/>
    <xf numFmtId="0" fontId="4" fillId="10" borderId="8" xfId="0" applyFont="1" applyFill="1" applyBorder="1"/>
    <xf numFmtId="0" fontId="4" fillId="10" borderId="6" xfId="0" applyFont="1" applyFill="1" applyBorder="1"/>
    <xf numFmtId="0" fontId="4" fillId="10" borderId="9" xfId="0" applyFont="1" applyFill="1" applyBorder="1"/>
    <xf numFmtId="0" fontId="4" fillId="10" borderId="10" xfId="0" applyFont="1" applyFill="1" applyBorder="1"/>
    <xf numFmtId="0" fontId="4" fillId="10" borderId="11" xfId="0" applyFont="1" applyFill="1" applyBorder="1"/>
    <xf numFmtId="0" fontId="4" fillId="10" borderId="0" xfId="0" applyFont="1" applyFill="1" applyBorder="1"/>
    <xf numFmtId="0" fontId="4" fillId="10" borderId="12" xfId="0" applyFont="1" applyFill="1" applyBorder="1"/>
    <xf numFmtId="0" fontId="4" fillId="10" borderId="13" xfId="0" applyFont="1" applyFill="1" applyBorder="1"/>
    <xf numFmtId="0" fontId="4" fillId="10" borderId="14" xfId="0" applyFont="1" applyFill="1" applyBorder="1"/>
    <xf numFmtId="0" fontId="4" fillId="3" borderId="1" xfId="0" applyFont="1" applyFill="1" applyBorder="1" applyProtection="1">
      <protection locked="0"/>
    </xf>
    <xf numFmtId="0" fontId="13" fillId="3" borderId="1" xfId="0" applyFont="1" applyFill="1" applyBorder="1" applyProtection="1">
      <protection locked="0"/>
    </xf>
    <xf numFmtId="0" fontId="1" fillId="0" borderId="15" xfId="0" applyFont="1" applyBorder="1" applyAlignment="1">
      <alignment horizontal="left"/>
    </xf>
    <xf numFmtId="0" fontId="1" fillId="0" borderId="16" xfId="0" applyFont="1" applyBorder="1" applyAlignment="1">
      <alignment horizontal="left"/>
    </xf>
    <xf numFmtId="0" fontId="1" fillId="0" borderId="17" xfId="0" applyFont="1" applyBorder="1"/>
    <xf numFmtId="0" fontId="1" fillId="0" borderId="18" xfId="0" applyFont="1" applyBorder="1"/>
    <xf numFmtId="0" fontId="1" fillId="0" borderId="14" xfId="0" applyFont="1" applyBorder="1"/>
    <xf numFmtId="0" fontId="1" fillId="0" borderId="16" xfId="0" applyFont="1" applyBorder="1"/>
    <xf numFmtId="22" fontId="4" fillId="0" borderId="0" xfId="0" applyNumberFormat="1" applyFont="1"/>
    <xf numFmtId="0" fontId="10" fillId="0" borderId="1" xfId="0" quotePrefix="1" applyFont="1" applyBorder="1" applyAlignment="1">
      <alignment horizontal="center"/>
    </xf>
    <xf numFmtId="0" fontId="4" fillId="0" borderId="0" xfId="0" applyFont="1" applyAlignment="1">
      <alignment wrapText="1"/>
    </xf>
    <xf numFmtId="0" fontId="13" fillId="3" borderId="1" xfId="0" applyFont="1" applyFill="1" applyBorder="1" applyAlignment="1" applyProtection="1">
      <alignment wrapText="1"/>
      <protection locked="0"/>
    </xf>
    <xf numFmtId="0" fontId="4" fillId="4" borderId="9" xfId="0" applyFont="1" applyFill="1" applyBorder="1"/>
    <xf numFmtId="0" fontId="4" fillId="4" borderId="11" xfId="0" applyFont="1" applyFill="1" applyBorder="1"/>
    <xf numFmtId="0" fontId="4" fillId="4" borderId="12" xfId="0" applyFont="1" applyFill="1" applyBorder="1"/>
    <xf numFmtId="0" fontId="4" fillId="4" borderId="13" xfId="0" applyFont="1" applyFill="1" applyBorder="1"/>
    <xf numFmtId="0" fontId="4" fillId="4" borderId="14" xfId="0" applyFont="1" applyFill="1" applyBorder="1"/>
    <xf numFmtId="0" fontId="4" fillId="11" borderId="8" xfId="0" applyFont="1" applyFill="1" applyBorder="1"/>
    <xf numFmtId="0" fontId="4" fillId="11" borderId="6" xfId="0" applyFont="1" applyFill="1" applyBorder="1"/>
    <xf numFmtId="0" fontId="4" fillId="11" borderId="9" xfId="0" applyFont="1" applyFill="1" applyBorder="1"/>
    <xf numFmtId="0" fontId="4" fillId="11" borderId="10" xfId="0" applyFont="1" applyFill="1" applyBorder="1"/>
    <xf numFmtId="0" fontId="4" fillId="11" borderId="11" xfId="0" applyFont="1" applyFill="1" applyBorder="1"/>
    <xf numFmtId="0" fontId="4" fillId="11" borderId="0" xfId="0" applyFont="1" applyFill="1" applyBorder="1"/>
    <xf numFmtId="0" fontId="4" fillId="11" borderId="12" xfId="0" applyFont="1" applyFill="1" applyBorder="1"/>
    <xf numFmtId="0" fontId="4" fillId="11" borderId="13" xfId="0" applyFont="1" applyFill="1" applyBorder="1"/>
    <xf numFmtId="0" fontId="4" fillId="11" borderId="14" xfId="0" applyFont="1" applyFill="1" applyBorder="1"/>
    <xf numFmtId="0" fontId="5" fillId="0" borderId="1" xfId="0" applyFont="1" applyFill="1" applyBorder="1"/>
    <xf numFmtId="0" fontId="4" fillId="3" borderId="1" xfId="0" applyFont="1" applyFill="1" applyBorder="1" applyProtection="1"/>
    <xf numFmtId="22" fontId="1" fillId="0" borderId="0" xfId="0" applyNumberFormat="1" applyFont="1"/>
    <xf numFmtId="0" fontId="10" fillId="0" borderId="15" xfId="0" applyFont="1" applyBorder="1" applyAlignment="1">
      <alignment horizontal="center"/>
    </xf>
    <xf numFmtId="0" fontId="9" fillId="0" borderId="0" xfId="0" applyFont="1"/>
    <xf numFmtId="22" fontId="17" fillId="0" borderId="0" xfId="0" applyNumberFormat="1" applyFont="1"/>
    <xf numFmtId="0" fontId="2" fillId="0" borderId="0" xfId="0" applyFont="1" applyFill="1" applyProtection="1">
      <protection hidden="1"/>
    </xf>
    <xf numFmtId="0" fontId="2" fillId="0" borderId="0" xfId="0" applyFont="1" applyProtection="1">
      <protection hidden="1"/>
    </xf>
    <xf numFmtId="0" fontId="12" fillId="0" borderId="7" xfId="0" applyFont="1" applyBorder="1"/>
    <xf numFmtId="0" fontId="0" fillId="0" borderId="19" xfId="0" applyBorder="1" applyAlignment="1"/>
    <xf numFmtId="0" fontId="3" fillId="0" borderId="0" xfId="0" applyFont="1" applyAlignment="1">
      <alignment horizontal="right"/>
    </xf>
    <xf numFmtId="0" fontId="1" fillId="0" borderId="0" xfId="0" applyFont="1" applyAlignment="1">
      <alignment horizontal="left"/>
    </xf>
    <xf numFmtId="0" fontId="1" fillId="0" borderId="19" xfId="0" applyFont="1" applyBorder="1"/>
    <xf numFmtId="0" fontId="1" fillId="4" borderId="7" xfId="0" applyFont="1" applyFill="1" applyBorder="1" applyAlignment="1">
      <alignment horizontal="center"/>
    </xf>
    <xf numFmtId="0" fontId="1" fillId="4" borderId="1" xfId="0" applyFont="1" applyFill="1" applyBorder="1" applyAlignment="1">
      <alignment horizontal="center"/>
    </xf>
    <xf numFmtId="0" fontId="1" fillId="0" borderId="19" xfId="0" applyFont="1" applyBorder="1" applyAlignment="1">
      <alignment horizontal="left"/>
    </xf>
    <xf numFmtId="0" fontId="1" fillId="0" borderId="0" xfId="0" applyFont="1" applyAlignment="1">
      <alignment wrapText="1"/>
    </xf>
    <xf numFmtId="0" fontId="19" fillId="0" borderId="0" xfId="0" applyFont="1" applyAlignment="1">
      <alignment horizontal="right"/>
    </xf>
    <xf numFmtId="0" fontId="1" fillId="3" borderId="0" xfId="0" applyFont="1" applyFill="1"/>
    <xf numFmtId="0" fontId="12" fillId="12" borderId="1" xfId="0" applyFont="1" applyFill="1" applyBorder="1" applyAlignment="1">
      <alignment horizontal="center"/>
    </xf>
    <xf numFmtId="0" fontId="15" fillId="12" borderId="1"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21" xfId="0" applyFont="1" applyFill="1" applyBorder="1"/>
    <xf numFmtId="0" fontId="3" fillId="0" borderId="1" xfId="0" applyFont="1" applyBorder="1" applyAlignment="1">
      <alignment horizontal="center" vertical="center"/>
    </xf>
    <xf numFmtId="0" fontId="20" fillId="0" borderId="0" xfId="0" applyFont="1" applyBorder="1" applyAlignment="1">
      <alignment horizontal="right"/>
    </xf>
    <xf numFmtId="0" fontId="20" fillId="0" borderId="0" xfId="0" applyFont="1" applyAlignment="1">
      <alignment horizontal="right"/>
    </xf>
    <xf numFmtId="0" fontId="21" fillId="0" borderId="22" xfId="0" applyFont="1" applyBorder="1" applyAlignment="1">
      <alignment horizontal="right"/>
    </xf>
    <xf numFmtId="0" fontId="20" fillId="0" borderId="23" xfId="0" applyFont="1" applyBorder="1"/>
    <xf numFmtId="0" fontId="22" fillId="3" borderId="1" xfId="0" applyFont="1" applyFill="1" applyBorder="1"/>
    <xf numFmtId="0" fontId="22" fillId="0" borderId="0" xfId="0" applyFont="1"/>
    <xf numFmtId="0" fontId="22" fillId="0" borderId="24" xfId="0" applyFont="1" applyBorder="1" applyAlignment="1"/>
    <xf numFmtId="0" fontId="22" fillId="0" borderId="25" xfId="0" applyFont="1" applyBorder="1" applyAlignment="1"/>
    <xf numFmtId="0" fontId="22" fillId="0" borderId="26" xfId="0" applyFont="1" applyBorder="1" applyAlignment="1"/>
    <xf numFmtId="0" fontId="22" fillId="0" borderId="6" xfId="0" applyFont="1" applyBorder="1" applyAlignment="1"/>
    <xf numFmtId="0" fontId="22" fillId="0" borderId="0" xfId="0" applyFont="1" applyFill="1" applyBorder="1"/>
    <xf numFmtId="0" fontId="24" fillId="12" borderId="1" xfId="0" applyFont="1" applyFill="1" applyBorder="1" applyAlignment="1">
      <alignment horizontal="center"/>
    </xf>
    <xf numFmtId="0" fontId="25" fillId="12" borderId="19" xfId="0" applyFont="1" applyFill="1" applyBorder="1" applyAlignment="1">
      <alignment horizontal="left"/>
    </xf>
    <xf numFmtId="0" fontId="24" fillId="12" borderId="27" xfId="0" applyFont="1" applyFill="1" applyBorder="1" applyAlignment="1">
      <alignment horizontal="center"/>
    </xf>
    <xf numFmtId="0" fontId="24" fillId="12" borderId="28" xfId="0" applyFont="1" applyFill="1" applyBorder="1" applyAlignment="1">
      <alignment horizontal="center"/>
    </xf>
    <xf numFmtId="0" fontId="25" fillId="12" borderId="0" xfId="0" applyFont="1" applyFill="1" applyBorder="1" applyAlignment="1">
      <alignment horizontal="center"/>
    </xf>
    <xf numFmtId="0" fontId="24" fillId="12" borderId="20" xfId="0" applyFont="1" applyFill="1" applyBorder="1" applyAlignment="1">
      <alignment horizontal="center"/>
    </xf>
    <xf numFmtId="0" fontId="25" fillId="12" borderId="19" xfId="0" applyFont="1" applyFill="1" applyBorder="1" applyAlignment="1">
      <alignment horizontal="center"/>
    </xf>
    <xf numFmtId="0" fontId="22" fillId="3" borderId="7" xfId="0" applyFont="1" applyFill="1" applyBorder="1"/>
    <xf numFmtId="0" fontId="25" fillId="12" borderId="1" xfId="0" applyFont="1" applyFill="1" applyBorder="1" applyAlignment="1">
      <alignment horizontal="center"/>
    </xf>
    <xf numFmtId="0" fontId="25" fillId="12" borderId="29" xfId="0" applyFont="1" applyFill="1" applyBorder="1" applyAlignment="1">
      <alignment horizontal="center"/>
    </xf>
    <xf numFmtId="0" fontId="25" fillId="12" borderId="21" xfId="0" applyFont="1" applyFill="1" applyBorder="1" applyAlignment="1">
      <alignment horizontal="center"/>
    </xf>
    <xf numFmtId="0" fontId="26" fillId="0" borderId="0" xfId="0" applyFont="1"/>
    <xf numFmtId="0" fontId="1" fillId="0" borderId="1" xfId="0" quotePrefix="1" applyFont="1" applyBorder="1"/>
    <xf numFmtId="0" fontId="1" fillId="3" borderId="1" xfId="0" applyFont="1" applyFill="1" applyBorder="1" applyAlignment="1">
      <alignment horizontal="center" vertical="center"/>
    </xf>
    <xf numFmtId="0" fontId="11" fillId="4" borderId="1" xfId="0" applyFont="1" applyFill="1" applyBorder="1" applyAlignment="1">
      <alignment horizontal="center" vertical="center"/>
    </xf>
    <xf numFmtId="0" fontId="10" fillId="12" borderId="1" xfId="0" applyFont="1" applyFill="1" applyBorder="1" applyAlignment="1">
      <alignment horizontal="center" vertical="center"/>
    </xf>
    <xf numFmtId="0" fontId="1" fillId="0" borderId="30" xfId="0" applyFont="1" applyBorder="1" applyAlignment="1">
      <alignment horizontal="left"/>
    </xf>
    <xf numFmtId="0" fontId="22" fillId="3" borderId="2" xfId="0" applyFont="1" applyFill="1" applyBorder="1"/>
    <xf numFmtId="22" fontId="22" fillId="3" borderId="2" xfId="0" applyNumberFormat="1" applyFont="1" applyFill="1" applyBorder="1"/>
    <xf numFmtId="0" fontId="4" fillId="0" borderId="1" xfId="0" applyFont="1" applyBorder="1"/>
    <xf numFmtId="0" fontId="4" fillId="0" borderId="0" xfId="0" applyFont="1" applyBorder="1"/>
    <xf numFmtId="0" fontId="3" fillId="0" borderId="2" xfId="0" applyFont="1" applyBorder="1"/>
    <xf numFmtId="0" fontId="28" fillId="3" borderId="1" xfId="0" applyFont="1" applyFill="1" applyBorder="1" applyAlignment="1">
      <alignment horizontal="center"/>
    </xf>
    <xf numFmtId="0" fontId="9" fillId="0" borderId="1" xfId="0" applyFont="1" applyBorder="1"/>
    <xf numFmtId="0" fontId="1" fillId="6" borderId="1" xfId="0" quotePrefix="1" applyFont="1" applyFill="1" applyBorder="1"/>
    <xf numFmtId="0" fontId="1" fillId="0" borderId="0" xfId="0" applyFont="1" applyFill="1" applyBorder="1" applyAlignment="1">
      <alignment horizontal="center"/>
    </xf>
    <xf numFmtId="0" fontId="3" fillId="4" borderId="28" xfId="0" applyFont="1" applyFill="1" applyBorder="1" applyAlignment="1">
      <alignment horizontal="center"/>
    </xf>
    <xf numFmtId="0" fontId="1" fillId="0" borderId="30" xfId="0" applyFont="1" applyBorder="1" applyAlignment="1"/>
    <xf numFmtId="0" fontId="1" fillId="0" borderId="30" xfId="0" applyFont="1" applyBorder="1"/>
    <xf numFmtId="0" fontId="1" fillId="3" borderId="7" xfId="0" applyFont="1" applyFill="1" applyBorder="1" applyAlignment="1"/>
    <xf numFmtId="0" fontId="1" fillId="3" borderId="31" xfId="0" applyFont="1" applyFill="1" applyBorder="1" applyAlignment="1"/>
    <xf numFmtId="0" fontId="1" fillId="3" borderId="1" xfId="0" applyFont="1" applyFill="1" applyBorder="1" applyAlignment="1"/>
    <xf numFmtId="0" fontId="3" fillId="0" borderId="1" xfId="0" applyFont="1" applyBorder="1" applyAlignment="1">
      <alignment horizontal="center" vertical="center" wrapText="1"/>
    </xf>
    <xf numFmtId="0" fontId="20" fillId="0" borderId="32" xfId="0" applyFont="1" applyBorder="1" applyAlignment="1"/>
    <xf numFmtId="0" fontId="21" fillId="0" borderId="0" xfId="0" applyFont="1" applyBorder="1" applyAlignment="1"/>
    <xf numFmtId="0" fontId="22" fillId="0" borderId="0" xfId="0" applyFont="1" applyBorder="1" applyAlignment="1"/>
    <xf numFmtId="0" fontId="22" fillId="0" borderId="33" xfId="0" applyFont="1" applyBorder="1" applyAlignment="1"/>
    <xf numFmtId="0" fontId="21" fillId="0" borderId="34" xfId="0" applyFont="1" applyBorder="1" applyAlignment="1">
      <alignment horizontal="right"/>
    </xf>
    <xf numFmtId="0" fontId="21" fillId="0" borderId="35" xfId="0" applyFont="1" applyBorder="1" applyAlignment="1">
      <alignment horizontal="right"/>
    </xf>
    <xf numFmtId="0" fontId="21" fillId="0" borderId="0" xfId="0" applyFont="1" applyAlignment="1">
      <alignment horizontal="right"/>
    </xf>
    <xf numFmtId="0" fontId="0" fillId="0" borderId="0" xfId="0" applyBorder="1" applyAlignment="1"/>
    <xf numFmtId="0" fontId="22" fillId="0" borderId="19" xfId="0" applyFont="1" applyBorder="1" applyAlignment="1"/>
    <xf numFmtId="0" fontId="24" fillId="0" borderId="30" xfId="0" applyFont="1" applyBorder="1" applyAlignment="1"/>
    <xf numFmtId="0" fontId="10" fillId="12" borderId="1" xfId="0" applyFont="1" applyFill="1" applyBorder="1" applyAlignment="1">
      <alignment horizontal="center"/>
    </xf>
    <xf numFmtId="0" fontId="29" fillId="13" borderId="1" xfId="0" applyFont="1" applyFill="1" applyBorder="1" applyAlignment="1">
      <alignment horizontal="center"/>
    </xf>
    <xf numFmtId="0" fontId="14" fillId="12" borderId="1" xfId="0" applyFont="1" applyFill="1" applyBorder="1" applyAlignment="1" applyProtection="1">
      <alignment horizontal="center"/>
      <protection locked="0"/>
    </xf>
    <xf numFmtId="0" fontId="1" fillId="0" borderId="0" xfId="0" quotePrefix="1" applyFont="1"/>
    <xf numFmtId="22" fontId="10" fillId="0" borderId="1" xfId="0" applyNumberFormat="1" applyFont="1" applyBorder="1" applyAlignment="1" applyProtection="1">
      <alignment horizontal="center"/>
      <protection locked="0"/>
    </xf>
    <xf numFmtId="0" fontId="0" fillId="0" borderId="19" xfId="0" applyBorder="1" applyAlignment="1">
      <alignment horizontal="center"/>
    </xf>
    <xf numFmtId="0" fontId="14" fillId="12" borderId="7" xfId="0" applyFont="1" applyFill="1" applyBorder="1" applyAlignment="1">
      <alignment horizontal="right"/>
    </xf>
    <xf numFmtId="0" fontId="15" fillId="12" borderId="30" xfId="0" applyFont="1" applyFill="1" applyBorder="1" applyAlignment="1">
      <alignment horizontal="center"/>
    </xf>
    <xf numFmtId="0" fontId="15" fillId="12" borderId="31" xfId="0" applyFont="1" applyFill="1" applyBorder="1" applyAlignment="1">
      <alignment horizontal="center"/>
    </xf>
    <xf numFmtId="0" fontId="14" fillId="12" borderId="30" xfId="0" applyFont="1" applyFill="1" applyBorder="1" applyAlignment="1">
      <alignment horizontal="left"/>
    </xf>
    <xf numFmtId="0" fontId="21" fillId="0" borderId="22" xfId="0" applyFont="1" applyBorder="1" applyAlignment="1">
      <alignment horizontal="left"/>
    </xf>
    <xf numFmtId="0" fontId="21" fillId="0" borderId="0" xfId="0" applyFont="1" applyBorder="1" applyAlignment="1">
      <alignment horizontal="left"/>
    </xf>
    <xf numFmtId="0" fontId="21" fillId="0" borderId="0" xfId="0" applyFont="1" applyFill="1" applyBorder="1" applyAlignment="1">
      <alignment horizontal="left"/>
    </xf>
    <xf numFmtId="0" fontId="30" fillId="0" borderId="36" xfId="0" applyFont="1" applyBorder="1" applyAlignment="1">
      <alignment horizontal="center"/>
    </xf>
    <xf numFmtId="22" fontId="1" fillId="0" borderId="1" xfId="0" applyNumberFormat="1" applyFont="1" applyBorder="1"/>
    <xf numFmtId="0" fontId="1" fillId="4" borderId="1" xfId="0" applyFont="1" applyFill="1" applyBorder="1" applyAlignment="1">
      <alignment horizontal="left"/>
    </xf>
    <xf numFmtId="0" fontId="14" fillId="12" borderId="1" xfId="0" applyFont="1" applyFill="1" applyBorder="1" applyAlignment="1">
      <alignment horizontal="center" vertical="center"/>
    </xf>
    <xf numFmtId="0" fontId="31" fillId="0" borderId="1" xfId="0" applyFont="1" applyBorder="1"/>
    <xf numFmtId="0" fontId="3" fillId="3" borderId="37" xfId="0" applyFont="1" applyFill="1" applyBorder="1" applyAlignment="1">
      <alignment horizontal="center"/>
    </xf>
    <xf numFmtId="22" fontId="10" fillId="0" borderId="38" xfId="0" applyNumberFormat="1" applyFont="1" applyBorder="1" applyAlignment="1" applyProtection="1">
      <alignment horizontal="center"/>
      <protection locked="0"/>
    </xf>
    <xf numFmtId="0" fontId="3" fillId="3" borderId="38" xfId="0" applyFont="1" applyFill="1" applyBorder="1" applyAlignment="1">
      <alignment horizontal="center"/>
    </xf>
    <xf numFmtId="22" fontId="10" fillId="0" borderId="39"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2" fillId="0" borderId="40" xfId="0" applyFont="1" applyBorder="1" applyAlignment="1">
      <alignment horizontal="center" wrapText="1"/>
    </xf>
    <xf numFmtId="0" fontId="22" fillId="0" borderId="41" xfId="0" applyFont="1" applyBorder="1" applyAlignment="1">
      <alignment horizontal="center" wrapText="1"/>
    </xf>
    <xf numFmtId="0" fontId="22" fillId="0" borderId="42" xfId="0" applyFont="1" applyBorder="1" applyAlignment="1">
      <alignment horizontal="center" wrapText="1"/>
    </xf>
    <xf numFmtId="0" fontId="22" fillId="0" borderId="42" xfId="0" applyFont="1" applyFill="1" applyBorder="1" applyAlignment="1">
      <alignment horizontal="center" wrapText="1"/>
    </xf>
    <xf numFmtId="0" fontId="22" fillId="0" borderId="41" xfId="0" applyFont="1" applyFill="1" applyBorder="1" applyAlignment="1">
      <alignment horizontal="center" wrapText="1"/>
    </xf>
    <xf numFmtId="0" fontId="22" fillId="0" borderId="43" xfId="0" applyFont="1" applyBorder="1" applyAlignment="1">
      <alignment horizontal="center" wrapText="1"/>
    </xf>
    <xf numFmtId="0" fontId="21" fillId="0" borderId="0" xfId="0" applyFont="1" applyAlignment="1">
      <alignment vertical="top"/>
    </xf>
    <xf numFmtId="0" fontId="1" fillId="0" borderId="1" xfId="0" applyFont="1" applyFill="1" applyBorder="1"/>
    <xf numFmtId="0" fontId="37" fillId="0" borderId="0" xfId="1" applyFont="1"/>
    <xf numFmtId="0" fontId="37" fillId="0" borderId="0" xfId="1" applyFont="1" applyAlignment="1">
      <alignment horizontal="right"/>
    </xf>
    <xf numFmtId="0" fontId="37" fillId="0" borderId="0" xfId="1" applyFont="1" applyBorder="1"/>
    <xf numFmtId="0" fontId="37" fillId="0" borderId="0" xfId="1" applyFont="1" applyAlignment="1">
      <alignment horizontal="left"/>
    </xf>
    <xf numFmtId="0" fontId="37" fillId="0" borderId="0" xfId="1" applyFont="1" applyAlignment="1"/>
    <xf numFmtId="0" fontId="38" fillId="0" borderId="0" xfId="1" applyFont="1" applyAlignment="1"/>
    <xf numFmtId="0" fontId="39" fillId="0" borderId="0" xfId="1" applyFont="1" applyAlignment="1"/>
    <xf numFmtId="0" fontId="37" fillId="0" borderId="64" xfId="1" applyFont="1" applyBorder="1"/>
    <xf numFmtId="0" fontId="37" fillId="0" borderId="64" xfId="1" applyFont="1" applyBorder="1" applyAlignment="1"/>
    <xf numFmtId="49" fontId="2" fillId="0" borderId="0" xfId="0" applyNumberFormat="1" applyFont="1" applyProtection="1">
      <protection hidden="1"/>
    </xf>
    <xf numFmtId="0" fontId="10" fillId="4" borderId="1" xfId="0" applyFont="1" applyFill="1" applyBorder="1" applyAlignment="1" applyProtection="1">
      <alignment horizontal="center"/>
      <protection locked="0"/>
    </xf>
    <xf numFmtId="0" fontId="33" fillId="12" borderId="1" xfId="0" applyFont="1" applyFill="1" applyBorder="1" applyAlignment="1">
      <alignment horizontal="center" vertical="center"/>
    </xf>
    <xf numFmtId="0" fontId="10" fillId="12" borderId="1" xfId="0" applyFont="1" applyFill="1" applyBorder="1" applyAlignment="1" applyProtection="1">
      <alignment horizontal="center"/>
    </xf>
    <xf numFmtId="0" fontId="10" fillId="12" borderId="1" xfId="0" applyFont="1" applyFill="1" applyBorder="1" applyAlignment="1" applyProtection="1">
      <alignment horizontal="center"/>
      <protection locked="0"/>
    </xf>
    <xf numFmtId="0" fontId="14" fillId="12" borderId="1" xfId="0" applyFont="1" applyFill="1" applyBorder="1" applyAlignment="1" applyProtection="1">
      <alignment horizontal="center"/>
    </xf>
    <xf numFmtId="0" fontId="29" fillId="13" borderId="1" xfId="0" applyFont="1" applyFill="1" applyBorder="1" applyAlignment="1" applyProtection="1">
      <alignment horizontal="center"/>
    </xf>
    <xf numFmtId="0" fontId="25" fillId="12" borderId="30" xfId="0" applyFont="1" applyFill="1" applyBorder="1" applyAlignment="1">
      <alignment horizontal="left"/>
    </xf>
    <xf numFmtId="0" fontId="25" fillId="12" borderId="30" xfId="0" applyFont="1" applyFill="1" applyBorder="1" applyAlignment="1">
      <alignment horizontal="center"/>
    </xf>
    <xf numFmtId="0" fontId="25" fillId="12" borderId="31" xfId="0" applyFont="1" applyFill="1" applyBorder="1" applyAlignment="1">
      <alignment horizontal="center"/>
    </xf>
    <xf numFmtId="0" fontId="35" fillId="12" borderId="1" xfId="0" applyFont="1" applyFill="1" applyBorder="1" applyAlignment="1">
      <alignment horizontal="center" vertical="center"/>
    </xf>
    <xf numFmtId="0" fontId="25" fillId="12" borderId="0" xfId="0" applyFont="1" applyFill="1" applyBorder="1" applyAlignment="1">
      <alignment horizontal="left"/>
    </xf>
    <xf numFmtId="14" fontId="0" fillId="0" borderId="0" xfId="0" applyNumberFormat="1" applyProtection="1">
      <protection locked="0"/>
    </xf>
    <xf numFmtId="0" fontId="36" fillId="0" borderId="0" xfId="0" applyFont="1" applyProtection="1">
      <protection locked="0"/>
    </xf>
    <xf numFmtId="165" fontId="14" fillId="12" borderId="1" xfId="0" applyNumberFormat="1" applyFont="1" applyFill="1" applyBorder="1" applyAlignment="1" applyProtection="1">
      <alignment horizontal="center"/>
      <protection locked="0"/>
    </xf>
    <xf numFmtId="165" fontId="15" fillId="12" borderId="1" xfId="0" applyNumberFormat="1" applyFont="1" applyFill="1" applyBorder="1" applyAlignment="1">
      <alignment horizontal="center"/>
    </xf>
    <xf numFmtId="165" fontId="15" fillId="12" borderId="30" xfId="0" applyNumberFormat="1" applyFont="1" applyFill="1" applyBorder="1" applyAlignment="1">
      <alignment horizontal="center"/>
    </xf>
    <xf numFmtId="165" fontId="25" fillId="12" borderId="1" xfId="0" applyNumberFormat="1" applyFont="1" applyFill="1" applyBorder="1" applyAlignment="1">
      <alignment horizontal="center"/>
    </xf>
    <xf numFmtId="165" fontId="25" fillId="12" borderId="0" xfId="0" applyNumberFormat="1" applyFont="1" applyFill="1" applyBorder="1" applyAlignment="1">
      <alignment horizontal="center"/>
    </xf>
    <xf numFmtId="165" fontId="25" fillId="12" borderId="0" xfId="0" applyNumberFormat="1" applyFont="1" applyFill="1" applyBorder="1" applyAlignment="1">
      <alignment horizontal="right"/>
    </xf>
    <xf numFmtId="165" fontId="25" fillId="12" borderId="19" xfId="0" applyNumberFormat="1" applyFont="1" applyFill="1" applyBorder="1" applyAlignment="1">
      <alignment horizontal="right"/>
    </xf>
    <xf numFmtId="0" fontId="37" fillId="0" borderId="0" xfId="1" applyFont="1" applyAlignment="1"/>
    <xf numFmtId="0" fontId="41" fillId="0" borderId="0" xfId="1" applyFont="1"/>
    <xf numFmtId="0" fontId="41" fillId="0" borderId="0" xfId="1" applyNumberFormat="1" applyFont="1" applyAlignment="1">
      <alignment horizontal="left"/>
    </xf>
    <xf numFmtId="0" fontId="15" fillId="2" borderId="7" xfId="0" applyFont="1" applyFill="1"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1" fillId="3" borderId="1" xfId="0" applyFont="1" applyFill="1" applyBorder="1" applyAlignment="1"/>
    <xf numFmtId="0" fontId="3" fillId="0" borderId="1" xfId="0" applyFont="1" applyBorder="1" applyAlignment="1"/>
    <xf numFmtId="0" fontId="0" fillId="0" borderId="1" xfId="0" applyBorder="1" applyAlignment="1"/>
    <xf numFmtId="0" fontId="3" fillId="0" borderId="7" xfId="0" applyFont="1" applyBorder="1" applyAlignment="1">
      <alignment horizontal="left"/>
    </xf>
    <xf numFmtId="0" fontId="3" fillId="0" borderId="31" xfId="0" applyFont="1" applyBorder="1" applyAlignment="1">
      <alignment horizontal="left"/>
    </xf>
    <xf numFmtId="0" fontId="1" fillId="0" borderId="0" xfId="0" applyFont="1" applyAlignment="1"/>
    <xf numFmtId="0" fontId="1" fillId="3" borderId="44" xfId="0" applyFont="1" applyFill="1" applyBorder="1" applyAlignment="1"/>
    <xf numFmtId="0" fontId="3" fillId="6" borderId="1" xfId="0" applyFont="1" applyFill="1" applyBorder="1" applyAlignment="1">
      <alignment horizontal="center" vertical="center" textRotation="255"/>
    </xf>
    <xf numFmtId="0" fontId="3" fillId="6" borderId="7" xfId="0" applyFont="1" applyFill="1" applyBorder="1" applyAlignment="1">
      <alignment horizontal="center" vertical="center" textRotation="255"/>
    </xf>
    <xf numFmtId="0" fontId="1" fillId="3" borderId="2" xfId="0" applyFont="1" applyFill="1" applyBorder="1" applyAlignment="1"/>
    <xf numFmtId="0" fontId="3" fillId="0" borderId="7" xfId="0" applyFont="1" applyBorder="1" applyAlignment="1"/>
    <xf numFmtId="0" fontId="3" fillId="0" borderId="30" xfId="0" applyFont="1" applyBorder="1" applyAlignment="1"/>
    <xf numFmtId="0" fontId="0" fillId="0" borderId="31" xfId="0" applyBorder="1" applyAlignment="1"/>
    <xf numFmtId="0" fontId="3" fillId="9" borderId="1" xfId="0" applyFont="1" applyFill="1" applyBorder="1" applyAlignment="1">
      <alignment horizontal="center" vertical="center" textRotation="255"/>
    </xf>
    <xf numFmtId="0" fontId="3" fillId="9" borderId="7" xfId="0" applyFont="1" applyFill="1" applyBorder="1" applyAlignment="1">
      <alignment horizontal="center" vertical="center" textRotation="255"/>
    </xf>
    <xf numFmtId="0" fontId="3" fillId="7" borderId="1" xfId="0" applyFont="1" applyFill="1" applyBorder="1" applyAlignment="1">
      <alignment horizontal="center" vertical="center" textRotation="255"/>
    </xf>
    <xf numFmtId="0" fontId="1" fillId="3" borderId="7" xfId="0" applyFont="1" applyFill="1" applyBorder="1" applyAlignment="1">
      <alignment horizontal="left"/>
    </xf>
    <xf numFmtId="0" fontId="1" fillId="3" borderId="31" xfId="0" applyFont="1" applyFill="1" applyBorder="1" applyAlignment="1">
      <alignment horizontal="left"/>
    </xf>
    <xf numFmtId="0" fontId="1" fillId="3" borderId="7" xfId="0" applyFont="1" applyFill="1" applyBorder="1" applyAlignment="1"/>
    <xf numFmtId="0" fontId="1" fillId="3" borderId="31" xfId="0" applyFont="1" applyFill="1" applyBorder="1" applyAlignment="1"/>
    <xf numFmtId="0" fontId="3" fillId="2" borderId="15" xfId="0" applyFont="1" applyFill="1" applyBorder="1" applyAlignment="1">
      <alignment horizontal="center" vertical="center" textRotation="255"/>
    </xf>
    <xf numFmtId="0" fontId="3" fillId="2" borderId="48" xfId="0" applyFont="1" applyFill="1" applyBorder="1" applyAlignment="1">
      <alignment horizontal="center" vertical="center" textRotation="255"/>
    </xf>
    <xf numFmtId="0" fontId="0" fillId="0" borderId="48" xfId="0" applyBorder="1" applyAlignment="1">
      <alignment horizontal="center" vertical="center" textRotation="255"/>
    </xf>
    <xf numFmtId="0" fontId="3" fillId="4" borderId="0" xfId="0" applyFont="1" applyFill="1" applyBorder="1" applyAlignment="1"/>
    <xf numFmtId="0" fontId="0" fillId="0" borderId="0" xfId="0" applyAlignment="1"/>
    <xf numFmtId="0" fontId="0" fillId="0" borderId="0" xfId="0" applyBorder="1" applyAlignment="1"/>
    <xf numFmtId="0" fontId="3" fillId="2" borderId="8" xfId="0" applyFont="1" applyFill="1" applyBorder="1" applyAlignment="1">
      <alignment horizontal="center" vertical="center" textRotation="255"/>
    </xf>
    <xf numFmtId="0" fontId="0" fillId="0" borderId="6" xfId="0" applyBorder="1" applyAlignment="1"/>
    <xf numFmtId="0" fontId="0" fillId="0" borderId="9" xfId="0" applyBorder="1" applyAlignment="1"/>
    <xf numFmtId="0" fontId="0" fillId="0" borderId="10" xfId="0" applyBorder="1" applyAlignment="1"/>
    <xf numFmtId="0" fontId="0" fillId="0" borderId="11" xfId="0" applyBorder="1" applyAlignment="1"/>
    <xf numFmtId="0" fontId="0" fillId="0" borderId="12" xfId="0" applyBorder="1" applyAlignment="1"/>
    <xf numFmtId="0" fontId="0" fillId="0" borderId="13" xfId="0" applyBorder="1" applyAlignment="1"/>
    <xf numFmtId="0" fontId="0" fillId="0" borderId="14" xfId="0" applyBorder="1" applyAlignment="1"/>
    <xf numFmtId="0" fontId="0" fillId="3" borderId="8" xfId="0" applyFill="1" applyBorder="1" applyAlignment="1"/>
    <xf numFmtId="0" fontId="0" fillId="3" borderId="6" xfId="0" applyFill="1" applyBorder="1" applyAlignment="1"/>
    <xf numFmtId="0" fontId="0" fillId="3" borderId="9" xfId="0" applyFill="1" applyBorder="1" applyAlignment="1"/>
    <xf numFmtId="0" fontId="0" fillId="3" borderId="10" xfId="0" applyFill="1" applyBorder="1" applyAlignment="1"/>
    <xf numFmtId="0" fontId="0" fillId="3" borderId="0" xfId="0" applyFill="1" applyAlignment="1"/>
    <xf numFmtId="0" fontId="0" fillId="3" borderId="11" xfId="0" applyFill="1" applyBorder="1" applyAlignment="1"/>
    <xf numFmtId="0" fontId="0" fillId="3" borderId="12" xfId="0" applyFill="1" applyBorder="1" applyAlignment="1"/>
    <xf numFmtId="0" fontId="0" fillId="3" borderId="13" xfId="0" applyFill="1" applyBorder="1" applyAlignment="1"/>
    <xf numFmtId="0" fontId="0" fillId="3" borderId="14" xfId="0" applyFill="1" applyBorder="1" applyAlignment="1"/>
    <xf numFmtId="0" fontId="3" fillId="4" borderId="1" xfId="0" applyFont="1" applyFill="1" applyBorder="1" applyAlignment="1"/>
    <xf numFmtId="0" fontId="3" fillId="5" borderId="15" xfId="0" applyFont="1" applyFill="1" applyBorder="1" applyAlignment="1">
      <alignment horizontal="center" vertical="center" textRotation="255"/>
    </xf>
    <xf numFmtId="0" fontId="3" fillId="5" borderId="48" xfId="0" applyFont="1" applyFill="1" applyBorder="1" applyAlignment="1">
      <alignment horizontal="center" vertical="center" textRotation="255"/>
    </xf>
    <xf numFmtId="0" fontId="3" fillId="14" borderId="28" xfId="0" applyFont="1" applyFill="1" applyBorder="1" applyAlignment="1">
      <alignment horizontal="center" vertical="center" textRotation="255"/>
    </xf>
    <xf numFmtId="0" fontId="0" fillId="0" borderId="28" xfId="0" applyBorder="1" applyAlignment="1"/>
    <xf numFmtId="0" fontId="0" fillId="0" borderId="47" xfId="0" applyBorder="1" applyAlignment="1"/>
    <xf numFmtId="0" fontId="3" fillId="8" borderId="29" xfId="0" applyFont="1" applyFill="1" applyBorder="1" applyAlignment="1">
      <alignment horizontal="center" vertical="center" textRotation="255"/>
    </xf>
    <xf numFmtId="0" fontId="3" fillId="8" borderId="45" xfId="0" applyFont="1" applyFill="1" applyBorder="1" applyAlignment="1">
      <alignment horizontal="center" vertical="center" textRotation="255"/>
    </xf>
    <xf numFmtId="0" fontId="0" fillId="0" borderId="45" xfId="0" applyBorder="1" applyAlignment="1"/>
    <xf numFmtId="0" fontId="0" fillId="0" borderId="46" xfId="0" applyBorder="1" applyAlignment="1"/>
    <xf numFmtId="0" fontId="1" fillId="3" borderId="7" xfId="0" quotePrefix="1" applyFont="1" applyFill="1" applyBorder="1" applyAlignment="1"/>
    <xf numFmtId="0" fontId="1" fillId="3" borderId="7" xfId="0" applyFont="1" applyFill="1" applyBorder="1" applyAlignment="1" applyProtection="1"/>
    <xf numFmtId="0" fontId="1" fillId="3" borderId="31" xfId="0" applyFont="1" applyFill="1" applyBorder="1" applyAlignment="1" applyProtection="1"/>
    <xf numFmtId="0" fontId="1" fillId="3" borderId="27" xfId="0" applyFont="1" applyFill="1" applyBorder="1" applyAlignment="1"/>
    <xf numFmtId="0" fontId="1" fillId="3" borderId="29" xfId="0" applyFont="1" applyFill="1" applyBorder="1" applyAlignment="1"/>
    <xf numFmtId="0" fontId="15" fillId="3" borderId="7" xfId="0" applyFont="1" applyFill="1" applyBorder="1" applyAlignment="1">
      <alignment horizontal="center"/>
    </xf>
    <xf numFmtId="0" fontId="15" fillId="10" borderId="7" xfId="0" applyFont="1" applyFill="1" applyBorder="1" applyAlignment="1">
      <alignment horizontal="center"/>
    </xf>
    <xf numFmtId="0" fontId="3" fillId="3" borderId="7" xfId="0" applyFont="1" applyFill="1" applyBorder="1" applyAlignment="1"/>
    <xf numFmtId="0" fontId="0" fillId="0" borderId="30" xfId="0" applyBorder="1" applyAlignment="1"/>
    <xf numFmtId="0" fontId="3" fillId="3" borderId="7" xfId="0" applyFont="1" applyFill="1" applyBorder="1" applyAlignment="1">
      <alignment horizontal="left"/>
    </xf>
    <xf numFmtId="0" fontId="3" fillId="3" borderId="30" xfId="0" applyFont="1" applyFill="1" applyBorder="1" applyAlignment="1">
      <alignment horizontal="left"/>
    </xf>
    <xf numFmtId="0" fontId="3" fillId="3" borderId="31" xfId="0" applyFont="1" applyFill="1" applyBorder="1" applyAlignment="1">
      <alignment horizontal="left"/>
    </xf>
    <xf numFmtId="0" fontId="3" fillId="3" borderId="1" xfId="0" applyFont="1" applyFill="1" applyBorder="1" applyAlignment="1"/>
    <xf numFmtId="0" fontId="0" fillId="0" borderId="31" xfId="0" applyBorder="1" applyAlignment="1">
      <alignment horizontal="left"/>
    </xf>
    <xf numFmtId="0" fontId="1" fillId="0" borderId="49" xfId="0" applyFont="1" applyBorder="1" applyAlignment="1"/>
    <xf numFmtId="0" fontId="1" fillId="0" borderId="19" xfId="0" applyFont="1" applyBorder="1" applyAlignment="1"/>
    <xf numFmtId="0" fontId="0" fillId="0" borderId="30" xfId="0" applyBorder="1"/>
    <xf numFmtId="0" fontId="0" fillId="0" borderId="31" xfId="0" applyBorder="1"/>
    <xf numFmtId="0" fontId="1" fillId="0" borderId="19" xfId="0" applyFont="1" applyBorder="1" applyAlignment="1">
      <alignment horizontal="left"/>
    </xf>
    <xf numFmtId="0" fontId="0" fillId="0" borderId="19" xfId="0" applyBorder="1" applyAlignment="1">
      <alignment horizontal="left"/>
    </xf>
    <xf numFmtId="0" fontId="1" fillId="0" borderId="30" xfId="0" applyFont="1" applyBorder="1" applyAlignment="1">
      <alignment horizontal="left"/>
    </xf>
    <xf numFmtId="0" fontId="0" fillId="0" borderId="30" xfId="0" applyBorder="1" applyAlignment="1">
      <alignment horizontal="left"/>
    </xf>
    <xf numFmtId="0" fontId="22" fillId="0" borderId="0" xfId="0" applyFont="1" applyAlignment="1">
      <alignment horizontal="left"/>
    </xf>
    <xf numFmtId="0" fontId="22" fillId="0" borderId="7" xfId="0" applyFont="1" applyBorder="1" applyAlignment="1">
      <alignment horizontal="center"/>
    </xf>
    <xf numFmtId="0" fontId="22" fillId="0" borderId="31" xfId="0" applyFont="1" applyBorder="1" applyAlignment="1">
      <alignment horizontal="center"/>
    </xf>
    <xf numFmtId="0" fontId="21" fillId="0" borderId="7" xfId="0" applyFont="1" applyBorder="1" applyAlignment="1">
      <alignment horizontal="center"/>
    </xf>
    <xf numFmtId="0" fontId="21" fillId="0" borderId="30" xfId="0" applyFont="1" applyBorder="1" applyAlignment="1">
      <alignment horizontal="center"/>
    </xf>
    <xf numFmtId="0" fontId="21" fillId="0" borderId="52" xfId="0" applyFont="1" applyBorder="1" applyAlignment="1">
      <alignment horizontal="center"/>
    </xf>
    <xf numFmtId="0" fontId="22" fillId="0" borderId="25" xfId="0" applyFont="1" applyBorder="1" applyAlignment="1">
      <alignment horizontal="center" wrapText="1"/>
    </xf>
    <xf numFmtId="0" fontId="0" fillId="0" borderId="58" xfId="0" applyBorder="1" applyAlignment="1"/>
    <xf numFmtId="0" fontId="22" fillId="0" borderId="30" xfId="0" applyFont="1" applyBorder="1" applyAlignment="1">
      <alignment horizontal="center"/>
    </xf>
    <xf numFmtId="0" fontId="22" fillId="0" borderId="52" xfId="0" applyFont="1" applyBorder="1" applyAlignment="1">
      <alignment horizontal="center"/>
    </xf>
    <xf numFmtId="0" fontId="23" fillId="0" borderId="3" xfId="0" applyFont="1" applyBorder="1" applyAlignment="1">
      <alignment horizontal="center"/>
    </xf>
    <xf numFmtId="0" fontId="22" fillId="0" borderId="4" xfId="0" applyFont="1" applyBorder="1" applyAlignment="1">
      <alignment horizontal="center"/>
    </xf>
    <xf numFmtId="0" fontId="22" fillId="0" borderId="59" xfId="0" applyFont="1" applyBorder="1" applyAlignment="1">
      <alignment horizontal="center"/>
    </xf>
    <xf numFmtId="0" fontId="20" fillId="0" borderId="60" xfId="0" applyFont="1" applyBorder="1" applyAlignment="1">
      <alignment horizontal="center"/>
    </xf>
    <xf numFmtId="0" fontId="23" fillId="0" borderId="61" xfId="0" applyFont="1" applyBorder="1" applyAlignment="1">
      <alignment horizontal="center"/>
    </xf>
    <xf numFmtId="0" fontId="23" fillId="0" borderId="62" xfId="0" applyFont="1" applyBorder="1" applyAlignment="1">
      <alignment horizontal="center"/>
    </xf>
    <xf numFmtId="0" fontId="22" fillId="0" borderId="5" xfId="0" applyFont="1" applyBorder="1" applyAlignment="1">
      <alignment horizontal="center"/>
    </xf>
    <xf numFmtId="0" fontId="20" fillId="0" borderId="23" xfId="0" applyFont="1" applyBorder="1" applyAlignment="1">
      <alignment horizontal="center"/>
    </xf>
    <xf numFmtId="0" fontId="20" fillId="0" borderId="13" xfId="0" applyFont="1" applyBorder="1" applyAlignment="1">
      <alignment horizontal="center"/>
    </xf>
    <xf numFmtId="0" fontId="20" fillId="0" borderId="61" xfId="0" applyFont="1" applyBorder="1" applyAlignment="1">
      <alignment horizontal="center"/>
    </xf>
    <xf numFmtId="0" fontId="20" fillId="0" borderId="62" xfId="0" applyFont="1" applyBorder="1" applyAlignment="1">
      <alignment horizontal="center"/>
    </xf>
    <xf numFmtId="0" fontId="22" fillId="0" borderId="55" xfId="0" applyFont="1" applyBorder="1" applyAlignment="1">
      <alignment horizontal="center"/>
    </xf>
    <xf numFmtId="0" fontId="22" fillId="0" borderId="63" xfId="0" applyFont="1" applyBorder="1" applyAlignment="1">
      <alignment horizontal="center"/>
    </xf>
    <xf numFmtId="0" fontId="22" fillId="0" borderId="56" xfId="0" applyFont="1" applyBorder="1" applyAlignment="1">
      <alignment horizontal="center"/>
    </xf>
    <xf numFmtId="0" fontId="22" fillId="0" borderId="57" xfId="0" applyFont="1" applyBorder="1" applyAlignment="1">
      <alignment horizontal="center"/>
    </xf>
    <xf numFmtId="0" fontId="22" fillId="0" borderId="19" xfId="0" applyFont="1" applyBorder="1" applyAlignment="1">
      <alignment horizontal="left"/>
    </xf>
    <xf numFmtId="0" fontId="22" fillId="0" borderId="30" xfId="0" applyFont="1" applyBorder="1" applyAlignment="1">
      <alignment horizontal="left"/>
    </xf>
    <xf numFmtId="0" fontId="21" fillId="0" borderId="32" xfId="0" applyFont="1" applyBorder="1" applyAlignment="1">
      <alignment horizontal="left"/>
    </xf>
    <xf numFmtId="0" fontId="21" fillId="0" borderId="53" xfId="0" applyFont="1" applyBorder="1" applyAlignment="1">
      <alignment horizontal="left"/>
    </xf>
    <xf numFmtId="0" fontId="22" fillId="0" borderId="54" xfId="0" applyFont="1" applyBorder="1" applyAlignment="1">
      <alignment vertical="top" wrapText="1"/>
    </xf>
    <xf numFmtId="0" fontId="0" fillId="0" borderId="54" xfId="0" applyBorder="1" applyAlignment="1">
      <alignment vertical="top" wrapText="1"/>
    </xf>
    <xf numFmtId="0" fontId="20" fillId="0" borderId="36" xfId="0" applyFont="1" applyBorder="1" applyAlignment="1">
      <alignment horizontal="center"/>
    </xf>
    <xf numFmtId="0" fontId="20" fillId="0" borderId="50" xfId="0" applyFont="1" applyBorder="1" applyAlignment="1">
      <alignment horizontal="center"/>
    </xf>
    <xf numFmtId="22" fontId="22" fillId="0" borderId="19" xfId="0" applyNumberFormat="1" applyFont="1" applyBorder="1" applyAlignment="1">
      <alignment horizontal="center"/>
    </xf>
    <xf numFmtId="0" fontId="22" fillId="0" borderId="19" xfId="0" applyFont="1" applyBorder="1" applyAlignment="1">
      <alignment horizontal="center"/>
    </xf>
    <xf numFmtId="0" fontId="21" fillId="0" borderId="50" xfId="0" applyFont="1" applyBorder="1" applyAlignment="1">
      <alignment horizontal="left"/>
    </xf>
    <xf numFmtId="0" fontId="20" fillId="0" borderId="51" xfId="0" applyFont="1" applyBorder="1" applyAlignment="1">
      <alignment horizontal="center"/>
    </xf>
    <xf numFmtId="0" fontId="20" fillId="0" borderId="32" xfId="0" applyFont="1" applyBorder="1" applyAlignment="1">
      <alignment horizontal="center"/>
    </xf>
    <xf numFmtId="0" fontId="22" fillId="0" borderId="0" xfId="0" applyFont="1" applyAlignment="1">
      <alignment horizontal="left" vertical="top" wrapText="1"/>
    </xf>
    <xf numFmtId="0" fontId="0" fillId="0" borderId="0" xfId="0" applyAlignment="1">
      <alignment horizontal="left" vertical="top" wrapText="1"/>
    </xf>
    <xf numFmtId="0" fontId="0" fillId="0" borderId="45" xfId="0" applyBorder="1" applyAlignment="1">
      <alignment horizontal="left" vertical="top" wrapText="1"/>
    </xf>
    <xf numFmtId="0" fontId="21" fillId="0" borderId="31" xfId="0" applyFont="1" applyBorder="1" applyAlignment="1">
      <alignment horizontal="center"/>
    </xf>
    <xf numFmtId="0" fontId="22" fillId="0" borderId="22" xfId="0" applyFont="1" applyBorder="1" applyAlignment="1">
      <alignment horizontal="left"/>
    </xf>
    <xf numFmtId="0" fontId="38" fillId="0" borderId="0" xfId="1" applyFont="1" applyAlignment="1"/>
    <xf numFmtId="0" fontId="37" fillId="0" borderId="0" xfId="1" applyFont="1" applyBorder="1" applyAlignment="1">
      <alignment horizontal="left"/>
    </xf>
    <xf numFmtId="0" fontId="37" fillId="0" borderId="0" xfId="1" applyFont="1" applyAlignment="1"/>
    <xf numFmtId="0" fontId="40" fillId="0" borderId="0" xfId="1" applyFont="1" applyBorder="1" applyAlignment="1">
      <alignment horizontal="left" vertical="center"/>
    </xf>
    <xf numFmtId="0" fontId="40" fillId="0" borderId="0" xfId="1" applyFont="1" applyAlignment="1">
      <alignment vertical="center"/>
    </xf>
    <xf numFmtId="0" fontId="38" fillId="0" borderId="0" xfId="1" applyFont="1" applyBorder="1" applyAlignment="1">
      <alignment horizontal="left"/>
    </xf>
    <xf numFmtId="0" fontId="38" fillId="0" borderId="0" xfId="1" applyFont="1" applyAlignment="1">
      <alignment horizontal="left"/>
    </xf>
    <xf numFmtId="0" fontId="37" fillId="0" borderId="0" xfId="1" applyFont="1" applyAlignment="1">
      <alignment horizontal="left"/>
    </xf>
    <xf numFmtId="0" fontId="0" fillId="0" borderId="0" xfId="0" applyAlignment="1">
      <alignment horizontal="left"/>
    </xf>
    <xf numFmtId="0" fontId="1" fillId="0" borderId="0" xfId="0" applyFont="1" applyAlignment="1">
      <alignment horizontal="left" wrapText="1"/>
    </xf>
    <xf numFmtId="0" fontId="12" fillId="0" borderId="7" xfId="0" applyFont="1" applyFill="1" applyBorder="1" applyAlignment="1">
      <alignment horizontal="center"/>
    </xf>
    <xf numFmtId="0" fontId="1" fillId="0" borderId="30" xfId="0" applyFont="1" applyFill="1" applyBorder="1" applyAlignment="1">
      <alignment horizontal="center"/>
    </xf>
    <xf numFmtId="0" fontId="1" fillId="0" borderId="31" xfId="0" applyFont="1" applyFill="1" applyBorder="1" applyAlignment="1"/>
    <xf numFmtId="0" fontId="40" fillId="0" borderId="0" xfId="1" applyFont="1" applyBorder="1" applyAlignment="1">
      <alignment horizontal="left"/>
    </xf>
    <xf numFmtId="0" fontId="40" fillId="0" borderId="0" xfId="1" applyFont="1" applyAlignment="1"/>
    <xf numFmtId="0" fontId="19" fillId="0" borderId="0" xfId="0" applyFont="1" applyAlignment="1">
      <alignment horizontal="center"/>
    </xf>
    <xf numFmtId="164" fontId="19" fillId="0" borderId="0" xfId="0" applyNumberFormat="1" applyFont="1" applyAlignment="1">
      <alignment horizontal="center"/>
    </xf>
    <xf numFmtId="164" fontId="19" fillId="0" borderId="0" xfId="0" quotePrefix="1" applyNumberFormat="1" applyFont="1" applyAlignment="1">
      <alignment horizontal="center"/>
    </xf>
    <xf numFmtId="0" fontId="13" fillId="3" borderId="1" xfId="0" applyFont="1" applyFill="1" applyBorder="1" applyAlignment="1"/>
    <xf numFmtId="0" fontId="16" fillId="0" borderId="13" xfId="0" applyFont="1" applyBorder="1" applyAlignment="1">
      <alignment vertical="center"/>
    </xf>
    <xf numFmtId="165" fontId="14" fillId="5" borderId="1" xfId="0" applyNumberFormat="1" applyFont="1" applyFill="1" applyBorder="1" applyAlignment="1" applyProtection="1">
      <alignment horizontal="center"/>
      <protection locked="0"/>
    </xf>
  </cellXfs>
  <cellStyles count="3">
    <cellStyle name="Normal" xfId="0" builtinId="0"/>
    <cellStyle name="Normal 2" xfId="1" xr:uid="{00000000-0005-0000-0000-000001000000}"/>
    <cellStyle name="Normal 2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10-EC42-11CE-9E0D-00AA006002F3}"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activeX/activeX85.xml><?xml version="1.0" encoding="utf-8"?>
<ax:ocx xmlns:ax="http://schemas.microsoft.com/office/2006/activeX" xmlns:r="http://schemas.openxmlformats.org/officeDocument/2006/relationships" ax:classid="{8BD21D10-EC42-11CE-9E0D-00AA006002F3}" ax:persistence="persistStreamInit" r:id="rId1"/>
</file>

<file path=xl/activeX/activeX86.xml><?xml version="1.0" encoding="utf-8"?>
<ax:ocx xmlns:ax="http://schemas.microsoft.com/office/2006/activeX" xmlns:r="http://schemas.openxmlformats.org/officeDocument/2006/relationships" ax:classid="{8BD21D10-EC42-11CE-9E0D-00AA006002F3}"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333399"/>
                </a:solidFill>
                <a:latin typeface="Arial"/>
                <a:ea typeface="Arial"/>
                <a:cs typeface="Arial"/>
              </a:defRPr>
            </a:pPr>
            <a:r>
              <a:rPr lang="en-US"/>
              <a:t>DO</a:t>
            </a:r>
          </a:p>
        </c:rich>
      </c:tx>
      <c:layout>
        <c:manualLayout>
          <c:xMode val="edge"/>
          <c:yMode val="edge"/>
          <c:x val="0.38961038961038963"/>
          <c:y val="4.1666666666666664E-2"/>
        </c:manualLayout>
      </c:layout>
      <c:overlay val="0"/>
      <c:spPr>
        <a:noFill/>
        <a:ln w="25400">
          <a:noFill/>
        </a:ln>
      </c:spPr>
    </c:title>
    <c:autoTitleDeleted val="0"/>
    <c:plotArea>
      <c:layout>
        <c:manualLayout>
          <c:layoutTarget val="inner"/>
          <c:xMode val="edge"/>
          <c:yMode val="edge"/>
          <c:x val="0.4935064935064935"/>
          <c:y val="0.24166765001485194"/>
          <c:w val="0.33766233766233766"/>
          <c:h val="0.66250269573037002"/>
        </c:manualLayout>
      </c:layout>
      <c:bar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1-3983-462E-BB75-B7C321AAA5AF}"/>
              </c:ext>
            </c:extLst>
          </c:dPt>
          <c:val>
            <c:numRef>
              <c:f>HydroLab!$J$9</c:f>
              <c:numCache>
                <c:formatCode>General</c:formatCode>
                <c:ptCount val="1"/>
                <c:pt idx="0">
                  <c:v>7.94</c:v>
                </c:pt>
              </c:numCache>
            </c:numRef>
          </c:val>
          <c:extLst>
            <c:ext xmlns:c16="http://schemas.microsoft.com/office/drawing/2014/chart" uri="{C3380CC4-5D6E-409C-BE32-E72D297353CC}">
              <c16:uniqueId val="{00000002-3983-462E-BB75-B7C321AAA5AF}"/>
            </c:ext>
          </c:extLst>
        </c:ser>
        <c:dLbls>
          <c:showLegendKey val="0"/>
          <c:showVal val="0"/>
          <c:showCatName val="0"/>
          <c:showSerName val="0"/>
          <c:showPercent val="0"/>
          <c:showBubbleSize val="0"/>
        </c:dLbls>
        <c:gapWidth val="150"/>
        <c:axId val="6264784"/>
        <c:axId val="6265176"/>
      </c:barChart>
      <c:catAx>
        <c:axId val="6264784"/>
        <c:scaling>
          <c:orientation val="minMax"/>
        </c:scaling>
        <c:delete val="1"/>
        <c:axPos val="b"/>
        <c:majorTickMark val="out"/>
        <c:minorTickMark val="none"/>
        <c:tickLblPos val="nextTo"/>
        <c:crossAx val="6265176"/>
        <c:crosses val="autoZero"/>
        <c:auto val="0"/>
        <c:lblAlgn val="ctr"/>
        <c:lblOffset val="100"/>
        <c:noMultiLvlLbl val="0"/>
      </c:catAx>
      <c:valAx>
        <c:axId val="6265176"/>
        <c:scaling>
          <c:orientation val="minMax"/>
          <c:max val="15"/>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264784"/>
        <c:crosses val="autoZero"/>
        <c:crossBetween val="between"/>
        <c:majorUnit val="2"/>
      </c:valAx>
      <c:spPr>
        <a:solidFill>
          <a:srgbClr val="C0C0C0"/>
        </a:solidFill>
        <a:ln w="12700">
          <a:solidFill>
            <a:srgbClr val="808080"/>
          </a:solidFill>
          <a:prstDash val="solid"/>
        </a:ln>
      </c:spPr>
    </c:plotArea>
    <c:plotVisOnly val="1"/>
    <c:dispBlanksAs val="gap"/>
    <c:showDLblsOverMax val="0"/>
  </c:chart>
  <c:spPr>
    <a:solidFill>
      <a:srgbClr val="FFFF99"/>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333399"/>
                </a:solidFill>
                <a:latin typeface="Arial"/>
                <a:ea typeface="Arial"/>
                <a:cs typeface="Arial"/>
              </a:defRPr>
            </a:pPr>
            <a:r>
              <a:rPr lang="en-US"/>
              <a:t>COND</a:t>
            </a:r>
          </a:p>
        </c:rich>
      </c:tx>
      <c:layout>
        <c:manualLayout>
          <c:xMode val="edge"/>
          <c:yMode val="edge"/>
          <c:x val="0.32323550465282747"/>
          <c:y val="4.1666666666666664E-2"/>
        </c:manualLayout>
      </c:layout>
      <c:overlay val="0"/>
      <c:spPr>
        <a:noFill/>
        <a:ln w="25400">
          <a:noFill/>
        </a:ln>
      </c:spPr>
    </c:title>
    <c:autoTitleDeleted val="0"/>
    <c:plotArea>
      <c:layout>
        <c:manualLayout>
          <c:layoutTarget val="inner"/>
          <c:xMode val="edge"/>
          <c:yMode val="edge"/>
          <c:x val="0.45454993834771884"/>
          <c:y val="0.23750096639390622"/>
          <c:w val="0.33333662145499382"/>
          <c:h val="0.67083606297226139"/>
        </c:manualLayout>
      </c:layout>
      <c:barChart>
        <c:barDir val="col"/>
        <c:grouping val="clustered"/>
        <c:varyColors val="0"/>
        <c:ser>
          <c:idx val="0"/>
          <c:order val="0"/>
          <c:spPr>
            <a:solidFill>
              <a:srgbClr val="993366"/>
            </a:solidFill>
            <a:ln w="12700">
              <a:solidFill>
                <a:srgbClr val="000000"/>
              </a:solidFill>
              <a:prstDash val="solid"/>
            </a:ln>
          </c:spPr>
          <c:invertIfNegative val="0"/>
          <c:val>
            <c:numRef>
              <c:f>HydroLab!$J$8</c:f>
              <c:numCache>
                <c:formatCode>General</c:formatCode>
                <c:ptCount val="1"/>
                <c:pt idx="0">
                  <c:v>874</c:v>
                </c:pt>
              </c:numCache>
            </c:numRef>
          </c:val>
          <c:extLst>
            <c:ext xmlns:c16="http://schemas.microsoft.com/office/drawing/2014/chart" uri="{C3380CC4-5D6E-409C-BE32-E72D297353CC}">
              <c16:uniqueId val="{00000000-C239-46E4-B73E-9C6F6451AF28}"/>
            </c:ext>
          </c:extLst>
        </c:ser>
        <c:dLbls>
          <c:showLegendKey val="0"/>
          <c:showVal val="0"/>
          <c:showCatName val="0"/>
          <c:showSerName val="0"/>
          <c:showPercent val="0"/>
          <c:showBubbleSize val="0"/>
        </c:dLbls>
        <c:gapWidth val="150"/>
        <c:axId val="6265960"/>
        <c:axId val="6266352"/>
      </c:barChart>
      <c:catAx>
        <c:axId val="6265960"/>
        <c:scaling>
          <c:orientation val="minMax"/>
        </c:scaling>
        <c:delete val="1"/>
        <c:axPos val="b"/>
        <c:majorTickMark val="out"/>
        <c:minorTickMark val="none"/>
        <c:tickLblPos val="nextTo"/>
        <c:crossAx val="6266352"/>
        <c:crosses val="autoZero"/>
        <c:auto val="0"/>
        <c:lblAlgn val="ctr"/>
        <c:lblOffset val="100"/>
        <c:noMultiLvlLbl val="0"/>
      </c:catAx>
      <c:valAx>
        <c:axId val="6266352"/>
        <c:scaling>
          <c:orientation val="minMax"/>
          <c:max val="20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265960"/>
        <c:crosses val="autoZero"/>
        <c:crossBetween val="between"/>
        <c:majorUnit val="500"/>
      </c:valAx>
      <c:spPr>
        <a:solidFill>
          <a:srgbClr val="C0C0C0"/>
        </a:solidFill>
        <a:ln w="12700">
          <a:solidFill>
            <a:srgbClr val="808080"/>
          </a:solidFill>
          <a:prstDash val="solid"/>
        </a:ln>
      </c:spPr>
    </c:plotArea>
    <c:plotVisOnly val="1"/>
    <c:dispBlanksAs val="gap"/>
    <c:showDLblsOverMax val="0"/>
  </c:chart>
  <c:spPr>
    <a:solidFill>
      <a:srgbClr val="FFFF99"/>
    </a:solidFill>
    <a:ln w="3175">
      <a:solidFill>
        <a:srgbClr val="000000"/>
      </a:solidFill>
      <a:prstDash val="solid"/>
    </a:ln>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333399"/>
                </a:solidFill>
                <a:latin typeface="Arial"/>
                <a:ea typeface="Arial"/>
                <a:cs typeface="Arial"/>
              </a:defRPr>
            </a:pPr>
            <a:r>
              <a:rPr lang="en-US"/>
              <a:t>PH</a:t>
            </a:r>
          </a:p>
        </c:rich>
      </c:tx>
      <c:layout>
        <c:manualLayout>
          <c:xMode val="edge"/>
          <c:yMode val="edge"/>
          <c:x val="0.42667226596675417"/>
          <c:y val="4.1666666666666664E-2"/>
        </c:manualLayout>
      </c:layout>
      <c:overlay val="0"/>
      <c:spPr>
        <a:noFill/>
        <a:ln w="25400">
          <a:noFill/>
        </a:ln>
      </c:spPr>
    </c:title>
    <c:autoTitleDeleted val="0"/>
    <c:plotArea>
      <c:layout>
        <c:manualLayout>
          <c:layoutTarget val="inner"/>
          <c:xMode val="edge"/>
          <c:yMode val="edge"/>
          <c:x val="0.50667326397479129"/>
          <c:y val="0.23333428277296051"/>
          <c:w val="0.3333376736676259"/>
          <c:h val="0.67083606297226139"/>
        </c:manualLayout>
      </c:layout>
      <c:barChart>
        <c:barDir val="col"/>
        <c:grouping val="clustered"/>
        <c:varyColors val="0"/>
        <c:ser>
          <c:idx val="0"/>
          <c:order val="0"/>
          <c:spPr>
            <a:solidFill>
              <a:srgbClr val="993366"/>
            </a:solidFill>
            <a:ln w="12700">
              <a:solidFill>
                <a:srgbClr val="000000"/>
              </a:solidFill>
              <a:prstDash val="solid"/>
            </a:ln>
          </c:spPr>
          <c:invertIfNegative val="0"/>
          <c:val>
            <c:numRef>
              <c:f>HydroLab!$J$7</c:f>
              <c:numCache>
                <c:formatCode>General</c:formatCode>
                <c:ptCount val="1"/>
                <c:pt idx="0">
                  <c:v>7.78</c:v>
                </c:pt>
              </c:numCache>
            </c:numRef>
          </c:val>
          <c:extLst>
            <c:ext xmlns:c16="http://schemas.microsoft.com/office/drawing/2014/chart" uri="{C3380CC4-5D6E-409C-BE32-E72D297353CC}">
              <c16:uniqueId val="{00000000-99DE-41E3-BDC2-D35815BF7754}"/>
            </c:ext>
          </c:extLst>
        </c:ser>
        <c:dLbls>
          <c:showLegendKey val="0"/>
          <c:showVal val="0"/>
          <c:showCatName val="0"/>
          <c:showSerName val="0"/>
          <c:showPercent val="0"/>
          <c:showBubbleSize val="0"/>
        </c:dLbls>
        <c:gapWidth val="150"/>
        <c:axId val="6267136"/>
        <c:axId val="6267528"/>
      </c:barChart>
      <c:catAx>
        <c:axId val="6267136"/>
        <c:scaling>
          <c:orientation val="minMax"/>
        </c:scaling>
        <c:delete val="1"/>
        <c:axPos val="b"/>
        <c:majorTickMark val="out"/>
        <c:minorTickMark val="none"/>
        <c:tickLblPos val="nextTo"/>
        <c:crossAx val="6267528"/>
        <c:crosses val="autoZero"/>
        <c:auto val="0"/>
        <c:lblAlgn val="ctr"/>
        <c:lblOffset val="100"/>
        <c:noMultiLvlLbl val="0"/>
      </c:catAx>
      <c:valAx>
        <c:axId val="6267528"/>
        <c:scaling>
          <c:orientation val="minMax"/>
          <c:max val="14"/>
          <c:min val="3"/>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267136"/>
        <c:crosses val="autoZero"/>
        <c:crossBetween val="between"/>
        <c:majorUnit val="2"/>
      </c:valAx>
      <c:spPr>
        <a:solidFill>
          <a:srgbClr val="C0C0C0"/>
        </a:solidFill>
        <a:ln w="12700">
          <a:solidFill>
            <a:srgbClr val="808080"/>
          </a:solidFill>
          <a:prstDash val="solid"/>
        </a:ln>
      </c:spPr>
    </c:plotArea>
    <c:plotVisOnly val="1"/>
    <c:dispBlanksAs val="gap"/>
    <c:showDLblsOverMax val="0"/>
  </c:chart>
  <c:spPr>
    <a:solidFill>
      <a:srgbClr val="FFFF99"/>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333399"/>
                </a:solidFill>
                <a:latin typeface="Arial"/>
                <a:ea typeface="Arial"/>
                <a:cs typeface="Arial"/>
              </a:defRPr>
            </a:pPr>
            <a:r>
              <a:rPr lang="en-US"/>
              <a:t>TEMP</a:t>
            </a:r>
          </a:p>
        </c:rich>
      </c:tx>
      <c:layout>
        <c:manualLayout>
          <c:xMode val="edge"/>
          <c:yMode val="edge"/>
          <c:x val="0.28395450568678915"/>
          <c:y val="4.1666666666666664E-2"/>
        </c:manualLayout>
      </c:layout>
      <c:overlay val="0"/>
      <c:spPr>
        <a:noFill/>
        <a:ln w="25400">
          <a:noFill/>
        </a:ln>
      </c:spPr>
    </c:title>
    <c:autoTitleDeleted val="0"/>
    <c:plotArea>
      <c:layout>
        <c:manualLayout>
          <c:layoutTarget val="inner"/>
          <c:xMode val="edge"/>
          <c:yMode val="edge"/>
          <c:x val="0.46914145859204515"/>
          <c:y val="0.23750096639390622"/>
          <c:w val="0.37037483573056196"/>
          <c:h val="0.66666937935131576"/>
        </c:manualLayout>
      </c:layout>
      <c:barChart>
        <c:barDir val="col"/>
        <c:grouping val="clustered"/>
        <c:varyColors val="0"/>
        <c:ser>
          <c:idx val="0"/>
          <c:order val="0"/>
          <c:spPr>
            <a:solidFill>
              <a:srgbClr val="993366"/>
            </a:solidFill>
            <a:ln w="12700">
              <a:solidFill>
                <a:srgbClr val="000000"/>
              </a:solidFill>
              <a:prstDash val="solid"/>
            </a:ln>
          </c:spPr>
          <c:invertIfNegative val="0"/>
          <c:val>
            <c:numRef>
              <c:f>HydroLab!$J$6</c:f>
              <c:numCache>
                <c:formatCode>General</c:formatCode>
                <c:ptCount val="1"/>
                <c:pt idx="0">
                  <c:v>25.76</c:v>
                </c:pt>
              </c:numCache>
            </c:numRef>
          </c:val>
          <c:extLst>
            <c:ext xmlns:c16="http://schemas.microsoft.com/office/drawing/2014/chart" uri="{C3380CC4-5D6E-409C-BE32-E72D297353CC}">
              <c16:uniqueId val="{00000000-608E-41EE-B82A-70D499CCDB87}"/>
            </c:ext>
          </c:extLst>
        </c:ser>
        <c:dLbls>
          <c:showLegendKey val="0"/>
          <c:showVal val="0"/>
          <c:showCatName val="0"/>
          <c:showSerName val="0"/>
          <c:showPercent val="0"/>
          <c:showBubbleSize val="0"/>
        </c:dLbls>
        <c:gapWidth val="150"/>
        <c:axId val="319494272"/>
        <c:axId val="319494664"/>
      </c:barChart>
      <c:catAx>
        <c:axId val="319494272"/>
        <c:scaling>
          <c:orientation val="minMax"/>
        </c:scaling>
        <c:delete val="1"/>
        <c:axPos val="b"/>
        <c:majorTickMark val="out"/>
        <c:minorTickMark val="none"/>
        <c:tickLblPos val="nextTo"/>
        <c:crossAx val="319494664"/>
        <c:crosses val="autoZero"/>
        <c:auto val="0"/>
        <c:lblAlgn val="ctr"/>
        <c:lblOffset val="100"/>
        <c:noMultiLvlLbl val="0"/>
      </c:catAx>
      <c:valAx>
        <c:axId val="319494664"/>
        <c:scaling>
          <c:orientation val="minMax"/>
          <c:max val="35"/>
          <c:min val="1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19494272"/>
        <c:crosses val="autoZero"/>
        <c:crossBetween val="between"/>
        <c:majorUnit val="5"/>
      </c:valAx>
      <c:spPr>
        <a:solidFill>
          <a:srgbClr val="C0C0C0"/>
        </a:solidFill>
        <a:ln w="12700">
          <a:solidFill>
            <a:srgbClr val="808080"/>
          </a:solidFill>
          <a:prstDash val="solid"/>
        </a:ln>
      </c:spPr>
    </c:plotArea>
    <c:plotVisOnly val="1"/>
    <c:dispBlanksAs val="gap"/>
    <c:showDLblsOverMax val="0"/>
  </c:chart>
  <c:spPr>
    <a:solidFill>
      <a:srgbClr val="FFFF99"/>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3" Type="http://schemas.openxmlformats.org/officeDocument/2006/relationships/image" Target="../media/image57.emf"/><Relationship Id="rId18" Type="http://schemas.openxmlformats.org/officeDocument/2006/relationships/image" Target="../media/image52.emf"/><Relationship Id="rId26" Type="http://schemas.openxmlformats.org/officeDocument/2006/relationships/image" Target="../media/image44.emf"/><Relationship Id="rId39" Type="http://schemas.openxmlformats.org/officeDocument/2006/relationships/image" Target="../media/image31.emf"/><Relationship Id="rId21" Type="http://schemas.openxmlformats.org/officeDocument/2006/relationships/image" Target="../media/image49.emf"/><Relationship Id="rId34" Type="http://schemas.openxmlformats.org/officeDocument/2006/relationships/image" Target="../media/image36.emf"/><Relationship Id="rId42" Type="http://schemas.openxmlformats.org/officeDocument/2006/relationships/image" Target="../media/image28.emf"/><Relationship Id="rId47" Type="http://schemas.openxmlformats.org/officeDocument/2006/relationships/image" Target="../media/image24.emf"/><Relationship Id="rId50" Type="http://schemas.openxmlformats.org/officeDocument/2006/relationships/image" Target="../media/image21.emf"/><Relationship Id="rId55" Type="http://schemas.openxmlformats.org/officeDocument/2006/relationships/image" Target="../media/image16.emf"/><Relationship Id="rId63" Type="http://schemas.openxmlformats.org/officeDocument/2006/relationships/image" Target="../media/image8.emf"/><Relationship Id="rId7" Type="http://schemas.openxmlformats.org/officeDocument/2006/relationships/image" Target="../media/image63.emf"/><Relationship Id="rId2" Type="http://schemas.openxmlformats.org/officeDocument/2006/relationships/image" Target="../media/image68.emf"/><Relationship Id="rId16" Type="http://schemas.openxmlformats.org/officeDocument/2006/relationships/image" Target="../media/image54.emf"/><Relationship Id="rId29" Type="http://schemas.openxmlformats.org/officeDocument/2006/relationships/image" Target="../media/image41.emf"/><Relationship Id="rId1" Type="http://schemas.openxmlformats.org/officeDocument/2006/relationships/image" Target="../media/image69.emf"/><Relationship Id="rId6" Type="http://schemas.openxmlformats.org/officeDocument/2006/relationships/image" Target="../media/image64.emf"/><Relationship Id="rId11" Type="http://schemas.openxmlformats.org/officeDocument/2006/relationships/image" Target="../media/image59.emf"/><Relationship Id="rId24" Type="http://schemas.openxmlformats.org/officeDocument/2006/relationships/image" Target="../media/image46.emf"/><Relationship Id="rId32" Type="http://schemas.openxmlformats.org/officeDocument/2006/relationships/image" Target="../media/image38.emf"/><Relationship Id="rId37" Type="http://schemas.openxmlformats.org/officeDocument/2006/relationships/image" Target="../media/image33.emf"/><Relationship Id="rId40" Type="http://schemas.openxmlformats.org/officeDocument/2006/relationships/image" Target="../media/image30.emf"/><Relationship Id="rId45" Type="http://schemas.openxmlformats.org/officeDocument/2006/relationships/image" Target="../media/image26.emf"/><Relationship Id="rId53" Type="http://schemas.openxmlformats.org/officeDocument/2006/relationships/image" Target="../media/image18.emf"/><Relationship Id="rId58" Type="http://schemas.openxmlformats.org/officeDocument/2006/relationships/image" Target="../media/image13.emf"/><Relationship Id="rId66" Type="http://schemas.openxmlformats.org/officeDocument/2006/relationships/image" Target="../media/image5.emf"/><Relationship Id="rId5" Type="http://schemas.openxmlformats.org/officeDocument/2006/relationships/image" Target="../media/image65.emf"/><Relationship Id="rId15" Type="http://schemas.openxmlformats.org/officeDocument/2006/relationships/image" Target="../media/image55.emf"/><Relationship Id="rId23" Type="http://schemas.openxmlformats.org/officeDocument/2006/relationships/image" Target="../media/image47.emf"/><Relationship Id="rId28" Type="http://schemas.openxmlformats.org/officeDocument/2006/relationships/image" Target="../media/image42.emf"/><Relationship Id="rId36" Type="http://schemas.openxmlformats.org/officeDocument/2006/relationships/image" Target="../media/image34.emf"/><Relationship Id="rId49" Type="http://schemas.openxmlformats.org/officeDocument/2006/relationships/image" Target="../media/image22.emf"/><Relationship Id="rId57" Type="http://schemas.openxmlformats.org/officeDocument/2006/relationships/image" Target="../media/image14.emf"/><Relationship Id="rId61" Type="http://schemas.openxmlformats.org/officeDocument/2006/relationships/image" Target="../media/image10.emf"/><Relationship Id="rId10" Type="http://schemas.openxmlformats.org/officeDocument/2006/relationships/image" Target="../media/image60.emf"/><Relationship Id="rId19" Type="http://schemas.openxmlformats.org/officeDocument/2006/relationships/image" Target="../media/image51.emf"/><Relationship Id="rId31" Type="http://schemas.openxmlformats.org/officeDocument/2006/relationships/image" Target="../media/image39.emf"/><Relationship Id="rId44" Type="http://schemas.openxmlformats.org/officeDocument/2006/relationships/image" Target="../media/image4.emf"/><Relationship Id="rId52" Type="http://schemas.openxmlformats.org/officeDocument/2006/relationships/image" Target="../media/image19.emf"/><Relationship Id="rId60" Type="http://schemas.openxmlformats.org/officeDocument/2006/relationships/image" Target="../media/image11.emf"/><Relationship Id="rId65" Type="http://schemas.openxmlformats.org/officeDocument/2006/relationships/image" Target="../media/image6.emf"/><Relationship Id="rId4" Type="http://schemas.openxmlformats.org/officeDocument/2006/relationships/image" Target="../media/image66.emf"/><Relationship Id="rId9" Type="http://schemas.openxmlformats.org/officeDocument/2006/relationships/image" Target="../media/image61.emf"/><Relationship Id="rId14" Type="http://schemas.openxmlformats.org/officeDocument/2006/relationships/image" Target="../media/image56.emf"/><Relationship Id="rId22" Type="http://schemas.openxmlformats.org/officeDocument/2006/relationships/image" Target="../media/image48.emf"/><Relationship Id="rId27" Type="http://schemas.openxmlformats.org/officeDocument/2006/relationships/image" Target="../media/image43.emf"/><Relationship Id="rId30" Type="http://schemas.openxmlformats.org/officeDocument/2006/relationships/image" Target="../media/image40.emf"/><Relationship Id="rId35" Type="http://schemas.openxmlformats.org/officeDocument/2006/relationships/image" Target="../media/image35.emf"/><Relationship Id="rId43" Type="http://schemas.openxmlformats.org/officeDocument/2006/relationships/image" Target="../media/image27.emf"/><Relationship Id="rId48" Type="http://schemas.openxmlformats.org/officeDocument/2006/relationships/image" Target="../media/image23.emf"/><Relationship Id="rId56" Type="http://schemas.openxmlformats.org/officeDocument/2006/relationships/image" Target="../media/image15.emf"/><Relationship Id="rId64" Type="http://schemas.openxmlformats.org/officeDocument/2006/relationships/image" Target="../media/image7.emf"/><Relationship Id="rId8" Type="http://schemas.openxmlformats.org/officeDocument/2006/relationships/image" Target="../media/image62.emf"/><Relationship Id="rId51" Type="http://schemas.openxmlformats.org/officeDocument/2006/relationships/image" Target="../media/image20.emf"/><Relationship Id="rId3" Type="http://schemas.openxmlformats.org/officeDocument/2006/relationships/image" Target="../media/image67.emf"/><Relationship Id="rId12" Type="http://schemas.openxmlformats.org/officeDocument/2006/relationships/image" Target="../media/image58.emf"/><Relationship Id="rId17" Type="http://schemas.openxmlformats.org/officeDocument/2006/relationships/image" Target="../media/image53.emf"/><Relationship Id="rId25" Type="http://schemas.openxmlformats.org/officeDocument/2006/relationships/image" Target="../media/image45.emf"/><Relationship Id="rId33" Type="http://schemas.openxmlformats.org/officeDocument/2006/relationships/image" Target="../media/image37.emf"/><Relationship Id="rId38" Type="http://schemas.openxmlformats.org/officeDocument/2006/relationships/image" Target="../media/image32.emf"/><Relationship Id="rId46" Type="http://schemas.openxmlformats.org/officeDocument/2006/relationships/image" Target="../media/image25.emf"/><Relationship Id="rId59" Type="http://schemas.openxmlformats.org/officeDocument/2006/relationships/image" Target="../media/image12.emf"/><Relationship Id="rId67" Type="http://schemas.openxmlformats.org/officeDocument/2006/relationships/image" Target="../media/image3.emf"/><Relationship Id="rId20" Type="http://schemas.openxmlformats.org/officeDocument/2006/relationships/image" Target="../media/image50.emf"/><Relationship Id="rId41" Type="http://schemas.openxmlformats.org/officeDocument/2006/relationships/image" Target="../media/image29.emf"/><Relationship Id="rId54" Type="http://schemas.openxmlformats.org/officeDocument/2006/relationships/image" Target="../media/image17.emf"/><Relationship Id="rId62"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3.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74.emf"/><Relationship Id="rId1" Type="http://schemas.openxmlformats.org/officeDocument/2006/relationships/image" Target="../media/image75.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drawing1.xml><?xml version="1.0" encoding="utf-8"?>
<xdr:wsDr xmlns:xdr="http://schemas.openxmlformats.org/drawingml/2006/spreadsheetDrawing" xmlns:a="http://schemas.openxmlformats.org/drawingml/2006/main">
  <xdr:twoCellAnchor>
    <xdr:from>
      <xdr:col>0</xdr:col>
      <xdr:colOff>114300</xdr:colOff>
      <xdr:row>7</xdr:row>
      <xdr:rowOff>76200</xdr:rowOff>
    </xdr:from>
    <xdr:to>
      <xdr:col>5</xdr:col>
      <xdr:colOff>123825</xdr:colOff>
      <xdr:row>32</xdr:row>
      <xdr:rowOff>38100</xdr:rowOff>
    </xdr:to>
    <xdr:sp macro="" textlink="">
      <xdr:nvSpPr>
        <xdr:cNvPr id="14401592" name="Freeform 1">
          <a:extLst>
            <a:ext uri="{FF2B5EF4-FFF2-40B4-BE49-F238E27FC236}">
              <a16:creationId xmlns:a16="http://schemas.microsoft.com/office/drawing/2014/main" id="{00000000-0008-0000-0000-000038C0DB00}"/>
            </a:ext>
          </a:extLst>
        </xdr:cNvPr>
        <xdr:cNvSpPr>
          <a:spLocks noEditPoints="1"/>
        </xdr:cNvSpPr>
      </xdr:nvSpPr>
      <xdr:spPr bwMode="auto">
        <a:xfrm>
          <a:off x="114300" y="1209675"/>
          <a:ext cx="3152775" cy="4267200"/>
        </a:xfrm>
        <a:custGeom>
          <a:avLst/>
          <a:gdLst>
            <a:gd name="T0" fmla="*/ 2147483647 w 16344"/>
            <a:gd name="T1" fmla="*/ 2147483647 h 27898"/>
            <a:gd name="T2" fmla="*/ 2147483647 w 16344"/>
            <a:gd name="T3" fmla="*/ 2147483647 h 27898"/>
            <a:gd name="T4" fmla="*/ 2147483647 w 16344"/>
            <a:gd name="T5" fmla="*/ 2147483647 h 27898"/>
            <a:gd name="T6" fmla="*/ 2147483647 w 16344"/>
            <a:gd name="T7" fmla="*/ 2147483647 h 27898"/>
            <a:gd name="T8" fmla="*/ 2147483647 w 16344"/>
            <a:gd name="T9" fmla="*/ 2147483647 h 27898"/>
            <a:gd name="T10" fmla="*/ 2147483647 w 16344"/>
            <a:gd name="T11" fmla="*/ 2147483647 h 27898"/>
            <a:gd name="T12" fmla="*/ 2147483647 w 16344"/>
            <a:gd name="T13" fmla="*/ 2147483647 h 27898"/>
            <a:gd name="T14" fmla="*/ 2147483647 w 16344"/>
            <a:gd name="T15" fmla="*/ 2147483647 h 27898"/>
            <a:gd name="T16" fmla="*/ 2147483647 w 16344"/>
            <a:gd name="T17" fmla="*/ 2147483647 h 27898"/>
            <a:gd name="T18" fmla="*/ 2147483647 w 16344"/>
            <a:gd name="T19" fmla="*/ 2147483647 h 27898"/>
            <a:gd name="T20" fmla="*/ 2147483647 w 16344"/>
            <a:gd name="T21" fmla="*/ 2147483647 h 27898"/>
            <a:gd name="T22" fmla="*/ 2147483647 w 16344"/>
            <a:gd name="T23" fmla="*/ 2147483647 h 27898"/>
            <a:gd name="T24" fmla="*/ 2147483647 w 16344"/>
            <a:gd name="T25" fmla="*/ 2147483647 h 27898"/>
            <a:gd name="T26" fmla="*/ 2147483647 w 16344"/>
            <a:gd name="T27" fmla="*/ 2147483647 h 27898"/>
            <a:gd name="T28" fmla="*/ 2147483647 w 16344"/>
            <a:gd name="T29" fmla="*/ 2147483647 h 27898"/>
            <a:gd name="T30" fmla="*/ 2147483647 w 16344"/>
            <a:gd name="T31" fmla="*/ 2147483647 h 27898"/>
            <a:gd name="T32" fmla="*/ 2147483647 w 16344"/>
            <a:gd name="T33" fmla="*/ 2147483647 h 27898"/>
            <a:gd name="T34" fmla="*/ 0 w 16344"/>
            <a:gd name="T35" fmla="*/ 2147483647 h 27898"/>
            <a:gd name="T36" fmla="*/ 2147483647 w 16344"/>
            <a:gd name="T37" fmla="*/ 2147483647 h 27898"/>
            <a:gd name="T38" fmla="*/ 2147483647 w 16344"/>
            <a:gd name="T39" fmla="*/ 2147483647 h 27898"/>
            <a:gd name="T40" fmla="*/ 2147483647 w 16344"/>
            <a:gd name="T41" fmla="*/ 2147483647 h 27898"/>
            <a:gd name="T42" fmla="*/ 2147483647 w 16344"/>
            <a:gd name="T43" fmla="*/ 2147483647 h 27898"/>
            <a:gd name="T44" fmla="*/ 2147483647 w 16344"/>
            <a:gd name="T45" fmla="*/ 2147483647 h 27898"/>
            <a:gd name="T46" fmla="*/ 2147483647 w 16344"/>
            <a:gd name="T47" fmla="*/ 2147483647 h 27898"/>
            <a:gd name="T48" fmla="*/ 2147483647 w 16344"/>
            <a:gd name="T49" fmla="*/ 2147483647 h 27898"/>
            <a:gd name="T50" fmla="*/ 2147483647 w 16344"/>
            <a:gd name="T51" fmla="*/ 2147483647 h 27898"/>
            <a:gd name="T52" fmla="*/ 2147483647 w 16344"/>
            <a:gd name="T53" fmla="*/ 2147483647 h 27898"/>
            <a:gd name="T54" fmla="*/ 2147483647 w 16344"/>
            <a:gd name="T55" fmla="*/ 2147483647 h 27898"/>
            <a:gd name="T56" fmla="*/ 2147483647 w 16344"/>
            <a:gd name="T57" fmla="*/ 2147483647 h 27898"/>
            <a:gd name="T58" fmla="*/ 2147483647 w 16344"/>
            <a:gd name="T59" fmla="*/ 2147483647 h 27898"/>
            <a:gd name="T60" fmla="*/ 2147483647 w 16344"/>
            <a:gd name="T61" fmla="*/ 2147483647 h 27898"/>
            <a:gd name="T62" fmla="*/ 2147483647 w 16344"/>
            <a:gd name="T63" fmla="*/ 2147483647 h 27898"/>
            <a:gd name="T64" fmla="*/ 2147483647 w 16344"/>
            <a:gd name="T65" fmla="*/ 2147483647 h 27898"/>
            <a:gd name="T66" fmla="*/ 2147483647 w 16344"/>
            <a:gd name="T67" fmla="*/ 2147483647 h 27898"/>
            <a:gd name="T68" fmla="*/ 2147483647 w 16344"/>
            <a:gd name="T69" fmla="*/ 2147483647 h 27898"/>
            <a:gd name="T70" fmla="*/ 2147483647 w 16344"/>
            <a:gd name="T71" fmla="*/ 2147483647 h 27898"/>
            <a:gd name="T72" fmla="*/ 2147483647 w 16344"/>
            <a:gd name="T73" fmla="*/ 2147483647 h 27898"/>
            <a:gd name="T74" fmla="*/ 2147483647 w 16344"/>
            <a:gd name="T75" fmla="*/ 2147483647 h 27898"/>
            <a:gd name="T76" fmla="*/ 2147483647 w 16344"/>
            <a:gd name="T77" fmla="*/ 2147483647 h 27898"/>
            <a:gd name="T78" fmla="*/ 2147483647 w 16344"/>
            <a:gd name="T79" fmla="*/ 2147483647 h 27898"/>
            <a:gd name="T80" fmla="*/ 2147483647 w 16344"/>
            <a:gd name="T81" fmla="*/ 2147483647 h 27898"/>
            <a:gd name="T82" fmla="*/ 2147483647 w 16344"/>
            <a:gd name="T83" fmla="*/ 2147483647 h 27898"/>
            <a:gd name="T84" fmla="*/ 2147483647 w 16344"/>
            <a:gd name="T85" fmla="*/ 2147483647 h 27898"/>
            <a:gd name="T86" fmla="*/ 2147483647 w 16344"/>
            <a:gd name="T87" fmla="*/ 2147483647 h 27898"/>
            <a:gd name="T88" fmla="*/ 2147483647 w 16344"/>
            <a:gd name="T89" fmla="*/ 2147483647 h 27898"/>
            <a:gd name="T90" fmla="*/ 2147483647 w 16344"/>
            <a:gd name="T91" fmla="*/ 2147483647 h 27898"/>
            <a:gd name="T92" fmla="*/ 2147483647 w 16344"/>
            <a:gd name="T93" fmla="*/ 2147483647 h 27898"/>
            <a:gd name="T94" fmla="*/ 2147483647 w 16344"/>
            <a:gd name="T95" fmla="*/ 2147483647 h 27898"/>
            <a:gd name="T96" fmla="*/ 2147483647 w 16344"/>
            <a:gd name="T97" fmla="*/ 2147483647 h 27898"/>
            <a:gd name="T98" fmla="*/ 2147483647 w 16344"/>
            <a:gd name="T99" fmla="*/ 2147483647 h 27898"/>
            <a:gd name="T100" fmla="*/ 2147483647 w 16344"/>
            <a:gd name="T101" fmla="*/ 2147483647 h 27898"/>
            <a:gd name="T102" fmla="*/ 2147483647 w 16344"/>
            <a:gd name="T103" fmla="*/ 2147483647 h 27898"/>
            <a:gd name="T104" fmla="*/ 2147483647 w 16344"/>
            <a:gd name="T105" fmla="*/ 2147483647 h 27898"/>
            <a:gd name="T106" fmla="*/ 2147483647 w 16344"/>
            <a:gd name="T107" fmla="*/ 0 h 27898"/>
            <a:gd name="T108" fmla="*/ 2147483647 w 16344"/>
            <a:gd name="T109" fmla="*/ 0 h 27898"/>
            <a:gd name="T110" fmla="*/ 2147483647 w 16344"/>
            <a:gd name="T111" fmla="*/ 2147483647 h 27898"/>
            <a:gd name="T112" fmla="*/ 2147483647 w 16344"/>
            <a:gd name="T113" fmla="*/ 2147483647 h 27898"/>
            <a:gd name="T114" fmla="*/ 2147483647 w 16344"/>
            <a:gd name="T115" fmla="*/ 2147483647 h 27898"/>
            <a:gd name="T116" fmla="*/ 2147483647 w 16344"/>
            <a:gd name="T117" fmla="*/ 2147483647 h 27898"/>
            <a:gd name="T118" fmla="*/ 2147483647 w 16344"/>
            <a:gd name="T119" fmla="*/ 2147483647 h 27898"/>
            <a:gd name="T120" fmla="*/ 2147483647 w 16344"/>
            <a:gd name="T121" fmla="*/ 2147483647 h 27898"/>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16344"/>
            <a:gd name="T184" fmla="*/ 0 h 27898"/>
            <a:gd name="T185" fmla="*/ 16344 w 16344"/>
            <a:gd name="T186" fmla="*/ 27898 h 27898"/>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16344" h="27898">
              <a:moveTo>
                <a:pt x="6746" y="1717"/>
              </a:moveTo>
              <a:lnTo>
                <a:pt x="7922" y="1717"/>
              </a:lnTo>
              <a:lnTo>
                <a:pt x="7922" y="2901"/>
              </a:lnTo>
              <a:lnTo>
                <a:pt x="6746" y="2901"/>
              </a:lnTo>
              <a:lnTo>
                <a:pt x="6746" y="1717"/>
              </a:lnTo>
              <a:close/>
              <a:moveTo>
                <a:pt x="4512" y="26018"/>
              </a:moveTo>
              <a:lnTo>
                <a:pt x="4498" y="26116"/>
              </a:lnTo>
              <a:lnTo>
                <a:pt x="4479" y="26214"/>
              </a:lnTo>
              <a:lnTo>
                <a:pt x="4454" y="26308"/>
              </a:lnTo>
              <a:lnTo>
                <a:pt x="4424" y="26402"/>
              </a:lnTo>
              <a:lnTo>
                <a:pt x="4392" y="26494"/>
              </a:lnTo>
              <a:lnTo>
                <a:pt x="4354" y="26583"/>
              </a:lnTo>
              <a:lnTo>
                <a:pt x="4313" y="26672"/>
              </a:lnTo>
              <a:lnTo>
                <a:pt x="4267" y="26758"/>
              </a:lnTo>
              <a:lnTo>
                <a:pt x="4218" y="26841"/>
              </a:lnTo>
              <a:lnTo>
                <a:pt x="4165" y="26922"/>
              </a:lnTo>
              <a:lnTo>
                <a:pt x="4107" y="27002"/>
              </a:lnTo>
              <a:lnTo>
                <a:pt x="4047" y="27077"/>
              </a:lnTo>
              <a:lnTo>
                <a:pt x="3984" y="27150"/>
              </a:lnTo>
              <a:lnTo>
                <a:pt x="3917" y="27221"/>
              </a:lnTo>
              <a:lnTo>
                <a:pt x="3847" y="27289"/>
              </a:lnTo>
              <a:lnTo>
                <a:pt x="3773" y="27354"/>
              </a:lnTo>
              <a:lnTo>
                <a:pt x="3697" y="27417"/>
              </a:lnTo>
              <a:lnTo>
                <a:pt x="3616" y="27474"/>
              </a:lnTo>
              <a:lnTo>
                <a:pt x="3535" y="27530"/>
              </a:lnTo>
              <a:lnTo>
                <a:pt x="3450" y="27582"/>
              </a:lnTo>
              <a:lnTo>
                <a:pt x="3362" y="27629"/>
              </a:lnTo>
              <a:lnTo>
                <a:pt x="3273" y="27675"/>
              </a:lnTo>
              <a:lnTo>
                <a:pt x="3181" y="27715"/>
              </a:lnTo>
              <a:lnTo>
                <a:pt x="3088" y="27753"/>
              </a:lnTo>
              <a:lnTo>
                <a:pt x="2991" y="27786"/>
              </a:lnTo>
              <a:lnTo>
                <a:pt x="2892" y="27814"/>
              </a:lnTo>
              <a:lnTo>
                <a:pt x="2792" y="27840"/>
              </a:lnTo>
              <a:lnTo>
                <a:pt x="2692" y="27861"/>
              </a:lnTo>
              <a:lnTo>
                <a:pt x="2588" y="27877"/>
              </a:lnTo>
              <a:lnTo>
                <a:pt x="2482" y="27889"/>
              </a:lnTo>
              <a:lnTo>
                <a:pt x="2377" y="27896"/>
              </a:lnTo>
              <a:lnTo>
                <a:pt x="2269" y="27898"/>
              </a:lnTo>
              <a:lnTo>
                <a:pt x="2160" y="27896"/>
              </a:lnTo>
              <a:lnTo>
                <a:pt x="2053" y="27888"/>
              </a:lnTo>
              <a:lnTo>
                <a:pt x="1945" y="27875"/>
              </a:lnTo>
              <a:lnTo>
                <a:pt x="1840" y="27860"/>
              </a:lnTo>
              <a:lnTo>
                <a:pt x="1738" y="27839"/>
              </a:lnTo>
              <a:lnTo>
                <a:pt x="1635" y="27813"/>
              </a:lnTo>
              <a:lnTo>
                <a:pt x="1535" y="27781"/>
              </a:lnTo>
              <a:lnTo>
                <a:pt x="1438" y="27748"/>
              </a:lnTo>
              <a:lnTo>
                <a:pt x="1343" y="27710"/>
              </a:lnTo>
              <a:lnTo>
                <a:pt x="1250" y="27668"/>
              </a:lnTo>
              <a:lnTo>
                <a:pt x="1158" y="27621"/>
              </a:lnTo>
              <a:lnTo>
                <a:pt x="1070" y="27570"/>
              </a:lnTo>
              <a:lnTo>
                <a:pt x="984" y="27518"/>
              </a:lnTo>
              <a:lnTo>
                <a:pt x="901" y="27460"/>
              </a:lnTo>
              <a:lnTo>
                <a:pt x="822" y="27399"/>
              </a:lnTo>
              <a:lnTo>
                <a:pt x="745" y="27337"/>
              </a:lnTo>
              <a:lnTo>
                <a:pt x="671" y="27269"/>
              </a:lnTo>
              <a:lnTo>
                <a:pt x="600" y="27199"/>
              </a:lnTo>
              <a:lnTo>
                <a:pt x="533" y="27126"/>
              </a:lnTo>
              <a:lnTo>
                <a:pt x="470" y="27051"/>
              </a:lnTo>
              <a:lnTo>
                <a:pt x="408" y="26972"/>
              </a:lnTo>
              <a:lnTo>
                <a:pt x="352" y="26890"/>
              </a:lnTo>
              <a:lnTo>
                <a:pt x="301" y="26806"/>
              </a:lnTo>
              <a:lnTo>
                <a:pt x="252" y="26721"/>
              </a:lnTo>
              <a:lnTo>
                <a:pt x="208" y="26632"/>
              </a:lnTo>
              <a:lnTo>
                <a:pt x="167" y="26541"/>
              </a:lnTo>
              <a:lnTo>
                <a:pt x="130" y="26449"/>
              </a:lnTo>
              <a:lnTo>
                <a:pt x="99" y="26355"/>
              </a:lnTo>
              <a:lnTo>
                <a:pt x="72" y="26259"/>
              </a:lnTo>
              <a:lnTo>
                <a:pt x="49" y="26161"/>
              </a:lnTo>
              <a:lnTo>
                <a:pt x="32" y="26062"/>
              </a:lnTo>
              <a:lnTo>
                <a:pt x="19" y="25961"/>
              </a:lnTo>
              <a:lnTo>
                <a:pt x="0" y="25961"/>
              </a:lnTo>
              <a:lnTo>
                <a:pt x="0" y="15042"/>
              </a:lnTo>
              <a:lnTo>
                <a:pt x="1176" y="15042"/>
              </a:lnTo>
              <a:lnTo>
                <a:pt x="1176" y="16741"/>
              </a:lnTo>
              <a:lnTo>
                <a:pt x="2833" y="16741"/>
              </a:lnTo>
              <a:lnTo>
                <a:pt x="2833" y="18364"/>
              </a:lnTo>
              <a:lnTo>
                <a:pt x="4530" y="18364"/>
              </a:lnTo>
              <a:lnTo>
                <a:pt x="4530" y="25760"/>
              </a:lnTo>
              <a:lnTo>
                <a:pt x="4530" y="26018"/>
              </a:lnTo>
              <a:lnTo>
                <a:pt x="4512" y="26018"/>
              </a:lnTo>
              <a:close/>
              <a:moveTo>
                <a:pt x="3354" y="16721"/>
              </a:moveTo>
              <a:lnTo>
                <a:pt x="4530" y="16721"/>
              </a:lnTo>
              <a:lnTo>
                <a:pt x="4530" y="17905"/>
              </a:lnTo>
              <a:lnTo>
                <a:pt x="3354" y="17905"/>
              </a:lnTo>
              <a:lnTo>
                <a:pt x="3354" y="16721"/>
              </a:lnTo>
              <a:close/>
              <a:moveTo>
                <a:pt x="3354" y="15042"/>
              </a:moveTo>
              <a:lnTo>
                <a:pt x="4530" y="15042"/>
              </a:lnTo>
              <a:lnTo>
                <a:pt x="4530" y="16226"/>
              </a:lnTo>
              <a:lnTo>
                <a:pt x="3354" y="16226"/>
              </a:lnTo>
              <a:lnTo>
                <a:pt x="3354" y="15042"/>
              </a:lnTo>
              <a:close/>
              <a:moveTo>
                <a:pt x="1676" y="15042"/>
              </a:moveTo>
              <a:lnTo>
                <a:pt x="2852" y="15042"/>
              </a:lnTo>
              <a:lnTo>
                <a:pt x="2852" y="16226"/>
              </a:lnTo>
              <a:lnTo>
                <a:pt x="1676" y="16226"/>
              </a:lnTo>
              <a:lnTo>
                <a:pt x="1676" y="15042"/>
              </a:lnTo>
              <a:close/>
              <a:moveTo>
                <a:pt x="3354" y="13381"/>
              </a:moveTo>
              <a:lnTo>
                <a:pt x="4530" y="13381"/>
              </a:lnTo>
              <a:lnTo>
                <a:pt x="4530" y="14564"/>
              </a:lnTo>
              <a:lnTo>
                <a:pt x="3354" y="14564"/>
              </a:lnTo>
              <a:lnTo>
                <a:pt x="3354" y="13381"/>
              </a:lnTo>
              <a:close/>
              <a:moveTo>
                <a:pt x="39" y="13381"/>
              </a:moveTo>
              <a:lnTo>
                <a:pt x="2852" y="13381"/>
              </a:lnTo>
              <a:lnTo>
                <a:pt x="2852" y="14564"/>
              </a:lnTo>
              <a:lnTo>
                <a:pt x="39" y="14564"/>
              </a:lnTo>
              <a:lnTo>
                <a:pt x="39" y="13381"/>
              </a:lnTo>
              <a:close/>
              <a:moveTo>
                <a:pt x="5012" y="11721"/>
              </a:moveTo>
              <a:lnTo>
                <a:pt x="6186" y="11721"/>
              </a:lnTo>
              <a:lnTo>
                <a:pt x="6186" y="12905"/>
              </a:lnTo>
              <a:lnTo>
                <a:pt x="5012" y="12905"/>
              </a:lnTo>
              <a:lnTo>
                <a:pt x="5012" y="11721"/>
              </a:lnTo>
              <a:close/>
              <a:moveTo>
                <a:pt x="3354" y="11721"/>
              </a:moveTo>
              <a:lnTo>
                <a:pt x="4530" y="11721"/>
              </a:lnTo>
              <a:lnTo>
                <a:pt x="4530" y="12905"/>
              </a:lnTo>
              <a:lnTo>
                <a:pt x="3354" y="12905"/>
              </a:lnTo>
              <a:lnTo>
                <a:pt x="3354" y="11721"/>
              </a:lnTo>
              <a:close/>
              <a:moveTo>
                <a:pt x="1676" y="11721"/>
              </a:moveTo>
              <a:lnTo>
                <a:pt x="2852" y="11721"/>
              </a:lnTo>
              <a:lnTo>
                <a:pt x="2852" y="12905"/>
              </a:lnTo>
              <a:lnTo>
                <a:pt x="1676" y="12905"/>
              </a:lnTo>
              <a:lnTo>
                <a:pt x="1676" y="11721"/>
              </a:lnTo>
              <a:close/>
              <a:moveTo>
                <a:pt x="15168" y="10059"/>
              </a:moveTo>
              <a:lnTo>
                <a:pt x="16344" y="10059"/>
              </a:lnTo>
              <a:lnTo>
                <a:pt x="16344" y="11243"/>
              </a:lnTo>
              <a:lnTo>
                <a:pt x="15168" y="11243"/>
              </a:lnTo>
              <a:lnTo>
                <a:pt x="15168" y="10059"/>
              </a:lnTo>
              <a:close/>
              <a:moveTo>
                <a:pt x="6785" y="10040"/>
              </a:moveTo>
              <a:lnTo>
                <a:pt x="7961" y="10040"/>
              </a:lnTo>
              <a:lnTo>
                <a:pt x="7961" y="11224"/>
              </a:lnTo>
              <a:lnTo>
                <a:pt x="6785" y="11224"/>
              </a:lnTo>
              <a:lnTo>
                <a:pt x="6785" y="10040"/>
              </a:lnTo>
              <a:close/>
              <a:moveTo>
                <a:pt x="10119" y="10059"/>
              </a:moveTo>
              <a:lnTo>
                <a:pt x="11295" y="10059"/>
              </a:lnTo>
              <a:lnTo>
                <a:pt x="11295" y="11243"/>
              </a:lnTo>
              <a:lnTo>
                <a:pt x="10119" y="11243"/>
              </a:lnTo>
              <a:lnTo>
                <a:pt x="10119" y="10059"/>
              </a:lnTo>
              <a:close/>
              <a:moveTo>
                <a:pt x="3354" y="10059"/>
              </a:moveTo>
              <a:lnTo>
                <a:pt x="4530" y="10059"/>
              </a:lnTo>
              <a:lnTo>
                <a:pt x="4530" y="11243"/>
              </a:lnTo>
              <a:lnTo>
                <a:pt x="3354" y="11243"/>
              </a:lnTo>
              <a:lnTo>
                <a:pt x="3354" y="10059"/>
              </a:lnTo>
              <a:close/>
              <a:moveTo>
                <a:pt x="1676" y="10059"/>
              </a:moveTo>
              <a:lnTo>
                <a:pt x="2852" y="10059"/>
              </a:lnTo>
              <a:lnTo>
                <a:pt x="2852" y="11243"/>
              </a:lnTo>
              <a:lnTo>
                <a:pt x="1676" y="11243"/>
              </a:lnTo>
              <a:lnTo>
                <a:pt x="1676" y="10059"/>
              </a:lnTo>
              <a:close/>
              <a:moveTo>
                <a:pt x="39" y="10059"/>
              </a:moveTo>
              <a:lnTo>
                <a:pt x="1215" y="10059"/>
              </a:lnTo>
              <a:lnTo>
                <a:pt x="1215" y="12866"/>
              </a:lnTo>
              <a:lnTo>
                <a:pt x="39" y="12866"/>
              </a:lnTo>
              <a:lnTo>
                <a:pt x="39" y="10059"/>
              </a:lnTo>
              <a:close/>
              <a:moveTo>
                <a:pt x="8403" y="8361"/>
              </a:moveTo>
              <a:lnTo>
                <a:pt x="9579" y="8361"/>
              </a:lnTo>
              <a:lnTo>
                <a:pt x="9579" y="9545"/>
              </a:lnTo>
              <a:lnTo>
                <a:pt x="8403" y="9545"/>
              </a:lnTo>
              <a:lnTo>
                <a:pt x="8403" y="8361"/>
              </a:lnTo>
              <a:close/>
              <a:moveTo>
                <a:pt x="5012" y="8380"/>
              </a:moveTo>
              <a:lnTo>
                <a:pt x="6186" y="8380"/>
              </a:lnTo>
              <a:lnTo>
                <a:pt x="6186" y="9564"/>
              </a:lnTo>
              <a:lnTo>
                <a:pt x="5012" y="9564"/>
              </a:lnTo>
              <a:lnTo>
                <a:pt x="5012" y="8380"/>
              </a:lnTo>
              <a:close/>
              <a:moveTo>
                <a:pt x="3354" y="8380"/>
              </a:moveTo>
              <a:lnTo>
                <a:pt x="4530" y="8380"/>
              </a:lnTo>
              <a:lnTo>
                <a:pt x="4530" y="9564"/>
              </a:lnTo>
              <a:lnTo>
                <a:pt x="3354" y="9564"/>
              </a:lnTo>
              <a:lnTo>
                <a:pt x="3354" y="8380"/>
              </a:lnTo>
              <a:close/>
              <a:moveTo>
                <a:pt x="1676" y="8380"/>
              </a:moveTo>
              <a:lnTo>
                <a:pt x="2852" y="8380"/>
              </a:lnTo>
              <a:lnTo>
                <a:pt x="2852" y="9564"/>
              </a:lnTo>
              <a:lnTo>
                <a:pt x="1676" y="9564"/>
              </a:lnTo>
              <a:lnTo>
                <a:pt x="1676" y="8380"/>
              </a:lnTo>
              <a:close/>
              <a:moveTo>
                <a:pt x="39" y="8380"/>
              </a:moveTo>
              <a:lnTo>
                <a:pt x="1215" y="8380"/>
              </a:lnTo>
              <a:lnTo>
                <a:pt x="1215" y="9564"/>
              </a:lnTo>
              <a:lnTo>
                <a:pt x="39" y="9564"/>
              </a:lnTo>
              <a:lnTo>
                <a:pt x="39" y="8380"/>
              </a:lnTo>
              <a:close/>
              <a:moveTo>
                <a:pt x="6785" y="6701"/>
              </a:moveTo>
              <a:lnTo>
                <a:pt x="7961" y="6701"/>
              </a:lnTo>
              <a:lnTo>
                <a:pt x="7961" y="7883"/>
              </a:lnTo>
              <a:lnTo>
                <a:pt x="6785" y="7883"/>
              </a:lnTo>
              <a:lnTo>
                <a:pt x="6785" y="6701"/>
              </a:lnTo>
              <a:close/>
              <a:moveTo>
                <a:pt x="5012" y="6720"/>
              </a:moveTo>
              <a:lnTo>
                <a:pt x="6186" y="6720"/>
              </a:lnTo>
              <a:lnTo>
                <a:pt x="6186" y="7902"/>
              </a:lnTo>
              <a:lnTo>
                <a:pt x="5012" y="7902"/>
              </a:lnTo>
              <a:lnTo>
                <a:pt x="5012" y="6720"/>
              </a:lnTo>
              <a:close/>
              <a:moveTo>
                <a:pt x="3354" y="6720"/>
              </a:moveTo>
              <a:lnTo>
                <a:pt x="4530" y="6720"/>
              </a:lnTo>
              <a:lnTo>
                <a:pt x="4530" y="7902"/>
              </a:lnTo>
              <a:lnTo>
                <a:pt x="3354" y="7902"/>
              </a:lnTo>
              <a:lnTo>
                <a:pt x="3354" y="6720"/>
              </a:lnTo>
              <a:close/>
              <a:moveTo>
                <a:pt x="1676" y="6720"/>
              </a:moveTo>
              <a:lnTo>
                <a:pt x="2852" y="6720"/>
              </a:lnTo>
              <a:lnTo>
                <a:pt x="2852" y="7902"/>
              </a:lnTo>
              <a:lnTo>
                <a:pt x="1676" y="7902"/>
              </a:lnTo>
              <a:lnTo>
                <a:pt x="1676" y="6720"/>
              </a:lnTo>
              <a:close/>
              <a:moveTo>
                <a:pt x="39" y="6720"/>
              </a:moveTo>
              <a:lnTo>
                <a:pt x="1215" y="6720"/>
              </a:lnTo>
              <a:lnTo>
                <a:pt x="1215" y="7902"/>
              </a:lnTo>
              <a:lnTo>
                <a:pt x="39" y="7902"/>
              </a:lnTo>
              <a:lnTo>
                <a:pt x="39" y="6720"/>
              </a:lnTo>
              <a:close/>
              <a:moveTo>
                <a:pt x="6727" y="5058"/>
              </a:moveTo>
              <a:lnTo>
                <a:pt x="7903" y="5058"/>
              </a:lnTo>
              <a:lnTo>
                <a:pt x="7903" y="6242"/>
              </a:lnTo>
              <a:lnTo>
                <a:pt x="6727" y="6242"/>
              </a:lnTo>
              <a:lnTo>
                <a:pt x="6727" y="5058"/>
              </a:lnTo>
              <a:close/>
              <a:moveTo>
                <a:pt x="3450" y="5077"/>
              </a:moveTo>
              <a:lnTo>
                <a:pt x="4626" y="5077"/>
              </a:lnTo>
              <a:lnTo>
                <a:pt x="4626" y="6261"/>
              </a:lnTo>
              <a:lnTo>
                <a:pt x="3450" y="6261"/>
              </a:lnTo>
              <a:lnTo>
                <a:pt x="3450" y="5077"/>
              </a:lnTo>
              <a:close/>
              <a:moveTo>
                <a:pt x="10138" y="5058"/>
              </a:moveTo>
              <a:lnTo>
                <a:pt x="11314" y="5058"/>
              </a:lnTo>
              <a:lnTo>
                <a:pt x="11314" y="6242"/>
              </a:lnTo>
              <a:lnTo>
                <a:pt x="10138" y="6242"/>
              </a:lnTo>
              <a:lnTo>
                <a:pt x="10138" y="5058"/>
              </a:lnTo>
              <a:close/>
              <a:moveTo>
                <a:pt x="10061" y="0"/>
              </a:moveTo>
              <a:lnTo>
                <a:pt x="11237" y="0"/>
              </a:lnTo>
              <a:lnTo>
                <a:pt x="11237" y="1184"/>
              </a:lnTo>
              <a:lnTo>
                <a:pt x="10061" y="1184"/>
              </a:lnTo>
              <a:lnTo>
                <a:pt x="10061" y="0"/>
              </a:lnTo>
              <a:close/>
              <a:moveTo>
                <a:pt x="8422" y="3398"/>
              </a:moveTo>
              <a:lnTo>
                <a:pt x="9598" y="3398"/>
              </a:lnTo>
              <a:lnTo>
                <a:pt x="9598" y="4581"/>
              </a:lnTo>
              <a:lnTo>
                <a:pt x="8422" y="4581"/>
              </a:lnTo>
              <a:lnTo>
                <a:pt x="8422" y="3398"/>
              </a:lnTo>
              <a:close/>
              <a:moveTo>
                <a:pt x="6765" y="3398"/>
              </a:moveTo>
              <a:lnTo>
                <a:pt x="7941" y="3398"/>
              </a:lnTo>
              <a:lnTo>
                <a:pt x="7941" y="4581"/>
              </a:lnTo>
              <a:lnTo>
                <a:pt x="6765" y="4581"/>
              </a:lnTo>
              <a:lnTo>
                <a:pt x="6765" y="3398"/>
              </a:lnTo>
              <a:close/>
              <a:moveTo>
                <a:pt x="5030" y="3418"/>
              </a:moveTo>
              <a:lnTo>
                <a:pt x="6206" y="3418"/>
              </a:lnTo>
              <a:lnTo>
                <a:pt x="6206" y="4600"/>
              </a:lnTo>
              <a:lnTo>
                <a:pt x="5030" y="4600"/>
              </a:lnTo>
              <a:lnTo>
                <a:pt x="5030" y="3418"/>
              </a:lnTo>
              <a:close/>
              <a:moveTo>
                <a:pt x="1676" y="3418"/>
              </a:moveTo>
              <a:lnTo>
                <a:pt x="2852" y="3418"/>
              </a:lnTo>
              <a:lnTo>
                <a:pt x="2852" y="4600"/>
              </a:lnTo>
              <a:lnTo>
                <a:pt x="1676" y="4600"/>
              </a:lnTo>
              <a:lnTo>
                <a:pt x="1676" y="3418"/>
              </a:lnTo>
              <a:close/>
              <a:moveTo>
                <a:pt x="8441" y="1737"/>
              </a:moveTo>
              <a:lnTo>
                <a:pt x="9617" y="1737"/>
              </a:lnTo>
              <a:lnTo>
                <a:pt x="9617" y="2921"/>
              </a:lnTo>
              <a:lnTo>
                <a:pt x="8441" y="2921"/>
              </a:lnTo>
              <a:lnTo>
                <a:pt x="8441" y="1737"/>
              </a:lnTo>
              <a:close/>
            </a:path>
          </a:pathLst>
        </a:custGeom>
        <a:solidFill>
          <a:srgbClr val="DFECF5"/>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4</xdr:row>
      <xdr:rowOff>142875</xdr:rowOff>
    </xdr:from>
    <xdr:to>
      <xdr:col>10</xdr:col>
      <xdr:colOff>561975</xdr:colOff>
      <xdr:row>7</xdr:row>
      <xdr:rowOff>95250</xdr:rowOff>
    </xdr:to>
    <xdr:sp macro="" textlink="">
      <xdr:nvSpPr>
        <xdr:cNvPr id="4098" name="WordArt 2">
          <a:extLst>
            <a:ext uri="{FF2B5EF4-FFF2-40B4-BE49-F238E27FC236}">
              <a16:creationId xmlns:a16="http://schemas.microsoft.com/office/drawing/2014/main" id="{00000000-0008-0000-0000-000002100000}"/>
            </a:ext>
          </a:extLst>
        </xdr:cNvPr>
        <xdr:cNvSpPr>
          <a:spLocks noChangeArrowheads="1" noChangeShapeType="1" noTextEdit="1"/>
        </xdr:cNvSpPr>
      </xdr:nvSpPr>
      <xdr:spPr bwMode="auto">
        <a:xfrm>
          <a:off x="733425" y="790575"/>
          <a:ext cx="6019800" cy="438150"/>
        </a:xfrm>
        <a:prstGeom prst="rect">
          <a:avLst/>
        </a:prstGeom>
      </xdr:spPr>
      <xdr:txBody>
        <a:bodyPr wrap="none" fromWordArt="1">
          <a:prstTxWarp prst="textPlain">
            <a:avLst>
              <a:gd name="adj" fmla="val 50000"/>
            </a:avLst>
          </a:prstTxWarp>
        </a:bodyPr>
        <a:lstStyle/>
        <a:p>
          <a:pPr algn="ctr" rtl="0"/>
          <a:r>
            <a:rPr lang="en-US" sz="3600" kern="10" spc="0">
              <a:ln w="9525">
                <a:solidFill>
                  <a:srgbClr val="0000FF"/>
                </a:solidFill>
                <a:round/>
                <a:headEnd/>
                <a:tailEnd/>
              </a:ln>
              <a:solidFill>
                <a:srgbClr val="000080"/>
              </a:solidFill>
              <a:effectLst>
                <a:outerShdw dist="563972" dir="14049741" sx="125000" sy="125000" algn="tl" rotWithShape="0">
                  <a:srgbClr val="C7DFD3"/>
                </a:outerShdw>
              </a:effectLst>
              <a:latin typeface="Times New Roman"/>
              <a:cs typeface="Times New Roman"/>
            </a:rPr>
            <a:t>HORIZON Field Data Manager</a:t>
          </a:r>
        </a:p>
      </xdr:txBody>
    </xdr:sp>
    <xdr:clientData/>
  </xdr:twoCellAnchor>
  <xdr:twoCellAnchor editAs="oneCell">
    <xdr:from>
      <xdr:col>2</xdr:col>
      <xdr:colOff>38100</xdr:colOff>
      <xdr:row>19</xdr:row>
      <xdr:rowOff>19050</xdr:rowOff>
    </xdr:from>
    <xdr:to>
      <xdr:col>6</xdr:col>
      <xdr:colOff>552450</xdr:colOff>
      <xdr:row>30</xdr:row>
      <xdr:rowOff>57150</xdr:rowOff>
    </xdr:to>
    <xdr:pic>
      <xdr:nvPicPr>
        <xdr:cNvPr id="14401594" name="Picture 5" descr="chemware-logo-shadow">
          <a:extLst>
            <a:ext uri="{FF2B5EF4-FFF2-40B4-BE49-F238E27FC236}">
              <a16:creationId xmlns:a16="http://schemas.microsoft.com/office/drawing/2014/main" id="{00000000-0008-0000-0000-00003AC0D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57300" y="3352800"/>
          <a:ext cx="304800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11</xdr:col>
      <xdr:colOff>219075</xdr:colOff>
      <xdr:row>6</xdr:row>
      <xdr:rowOff>28573</xdr:rowOff>
    </xdr:from>
    <xdr:ext cx="2219325" cy="318036"/>
    <xdr:sp macro="" textlink="">
      <xdr:nvSpPr>
        <xdr:cNvPr id="4102" name="Text Box 6">
          <a:extLst>
            <a:ext uri="{FF2B5EF4-FFF2-40B4-BE49-F238E27FC236}">
              <a16:creationId xmlns:a16="http://schemas.microsoft.com/office/drawing/2014/main" id="{00000000-0008-0000-0000-000006100000}"/>
            </a:ext>
          </a:extLst>
        </xdr:cNvPr>
        <xdr:cNvSpPr txBox="1">
          <a:spLocks noChangeArrowheads="1"/>
        </xdr:cNvSpPr>
      </xdr:nvSpPr>
      <xdr:spPr bwMode="auto">
        <a:xfrm>
          <a:off x="7019925" y="1000123"/>
          <a:ext cx="2219325" cy="318036"/>
        </a:xfrm>
        <a:prstGeom prst="rect">
          <a:avLst/>
        </a:prstGeom>
        <a:noFill/>
        <a:ln w="9525">
          <a:noFill/>
          <a:miter lim="800000"/>
          <a:headEnd/>
          <a:tailEnd/>
        </a:ln>
      </xdr:spPr>
      <xdr:txBody>
        <a:bodyPr wrap="square" lIns="18288" tIns="22860" rIns="0" bIns="0" anchor="t" upright="1">
          <a:noAutofit/>
        </a:bodyPr>
        <a:lstStyle/>
        <a:p>
          <a:pPr algn="l" rtl="0">
            <a:defRPr sz="1000"/>
          </a:pPr>
          <a:r>
            <a:rPr lang="en-US" sz="1000" b="0" i="0" u="none" strike="noStrike" baseline="0">
              <a:solidFill>
                <a:srgbClr val="000000"/>
              </a:solidFill>
              <a:latin typeface="Arial"/>
              <a:cs typeface="Arial"/>
            </a:rPr>
            <a:t>v01.11.10 Rev. 22 5/3/2018</a:t>
          </a:r>
        </a:p>
        <a:p>
          <a:pPr algn="l" rtl="0">
            <a:defRPr sz="1000"/>
          </a:pPr>
          <a:r>
            <a:rPr lang="en-US" sz="1000" b="0" i="0" u="none" strike="noStrike" baseline="0">
              <a:solidFill>
                <a:srgbClr val="000000"/>
              </a:solidFill>
              <a:latin typeface="Arial"/>
              <a:cs typeface="Arial"/>
            </a:rPr>
            <a:t> </a:t>
          </a:r>
          <a:r>
            <a:rPr lang="en-US" sz="800" b="0" i="1" u="none" strike="noStrike" baseline="0">
              <a:solidFill>
                <a:srgbClr val="000000"/>
              </a:solidFill>
              <a:latin typeface="Arial"/>
              <a:cs typeface="Arial"/>
            </a:rPr>
            <a:t>Excel 2007-2017 </a:t>
          </a:r>
          <a:r>
            <a:rPr lang="en-US" sz="800" b="0" i="1" u="none" strike="noStrike" baseline="0">
              <a:solidFill>
                <a:srgbClr val="00B050"/>
              </a:solidFill>
              <a:latin typeface="Arial"/>
              <a:cs typeface="Arial"/>
            </a:rPr>
            <a:t>®</a:t>
          </a:r>
          <a:r>
            <a:rPr lang="en-US" sz="800" b="0" i="1" u="none" strike="noStrike" baseline="0">
              <a:solidFill>
                <a:srgbClr val="000000"/>
              </a:solidFill>
              <a:latin typeface="Arial"/>
              <a:cs typeface="Arial"/>
            </a:rPr>
            <a:t> Compatible </a:t>
          </a:r>
          <a:endParaRPr lang="en-US" sz="2400" b="0" i="1" u="none" strike="noStrike" baseline="0">
            <a:solidFill>
              <a:srgbClr val="000000"/>
            </a:solidFill>
            <a:latin typeface="Arial"/>
            <a:cs typeface="Arial"/>
          </a:endParaRPr>
        </a:p>
      </xdr:txBody>
    </xdr:sp>
    <xdr:clientData/>
  </xdr:oneCellAnchor>
  <mc:AlternateContent xmlns:mc="http://schemas.openxmlformats.org/markup-compatibility/2006">
    <mc:Choice xmlns:a14="http://schemas.microsoft.com/office/drawing/2010/main" Requires="a14">
      <xdr:twoCellAnchor editAs="oneCell">
        <xdr:from>
          <xdr:col>4</xdr:col>
          <xdr:colOff>0</xdr:colOff>
          <xdr:row>13</xdr:row>
          <xdr:rowOff>66675</xdr:rowOff>
        </xdr:from>
        <xdr:to>
          <xdr:col>5</xdr:col>
          <xdr:colOff>371475</xdr:colOff>
          <xdr:row>15</xdr:row>
          <xdr:rowOff>66675</xdr:rowOff>
        </xdr:to>
        <xdr:sp macro="" textlink="">
          <xdr:nvSpPr>
            <xdr:cNvPr id="4100" name="cmdLogin"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123825</xdr:colOff>
          <xdr:row>0</xdr:row>
          <xdr:rowOff>152400</xdr:rowOff>
        </xdr:from>
        <xdr:to>
          <xdr:col>31</xdr:col>
          <xdr:colOff>866775</xdr:colOff>
          <xdr:row>2</xdr:row>
          <xdr:rowOff>57150</xdr:rowOff>
        </xdr:to>
        <xdr:sp macro="" textlink="">
          <xdr:nvSpPr>
            <xdr:cNvPr id="7169" name="cmdFetch"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1143000</xdr:colOff>
          <xdr:row>0</xdr:row>
          <xdr:rowOff>152400</xdr:rowOff>
        </xdr:from>
        <xdr:to>
          <xdr:col>32</xdr:col>
          <xdr:colOff>390525</xdr:colOff>
          <xdr:row>2</xdr:row>
          <xdr:rowOff>57150</xdr:rowOff>
        </xdr:to>
        <xdr:sp macro="" textlink="">
          <xdr:nvSpPr>
            <xdr:cNvPr id="7170" name="cmdDeliver"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161925</xdr:colOff>
          <xdr:row>6</xdr:row>
          <xdr:rowOff>28575</xdr:rowOff>
        </xdr:from>
        <xdr:to>
          <xdr:col>31</xdr:col>
          <xdr:colOff>371475</xdr:colOff>
          <xdr:row>7</xdr:row>
          <xdr:rowOff>161925</xdr:rowOff>
        </xdr:to>
        <xdr:sp macro="" textlink="">
          <xdr:nvSpPr>
            <xdr:cNvPr id="7175" name="cmdReport"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171450</xdr:colOff>
          <xdr:row>4</xdr:row>
          <xdr:rowOff>57150</xdr:rowOff>
        </xdr:from>
        <xdr:to>
          <xdr:col>31</xdr:col>
          <xdr:colOff>381000</xdr:colOff>
          <xdr:row>5</xdr:row>
          <xdr:rowOff>190500</xdr:rowOff>
        </xdr:to>
        <xdr:sp macro="" textlink="">
          <xdr:nvSpPr>
            <xdr:cNvPr id="7179" name="cmdComment"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628650</xdr:colOff>
          <xdr:row>6</xdr:row>
          <xdr:rowOff>19050</xdr:rowOff>
        </xdr:from>
        <xdr:to>
          <xdr:col>31</xdr:col>
          <xdr:colOff>1371600</xdr:colOff>
          <xdr:row>7</xdr:row>
          <xdr:rowOff>161925</xdr:rowOff>
        </xdr:to>
        <xdr:sp macro="" textlink="">
          <xdr:nvSpPr>
            <xdr:cNvPr id="7182" name="cmdHide"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1</xdr:row>
          <xdr:rowOff>38100</xdr:rowOff>
        </xdr:from>
        <xdr:to>
          <xdr:col>41</xdr:col>
          <xdr:colOff>1019175</xdr:colOff>
          <xdr:row>2</xdr:row>
          <xdr:rowOff>9525</xdr:rowOff>
        </xdr:to>
        <xdr:sp macro="" textlink="">
          <xdr:nvSpPr>
            <xdr:cNvPr id="7203" name="TextBox1" hidden="1">
              <a:extLst>
                <a:ext uri="{63B3BB69-23CF-44E3-9099-C40C66FF867C}">
                  <a14:compatExt spid="_x0000_s7203"/>
                </a:ext>
                <a:ext uri="{FF2B5EF4-FFF2-40B4-BE49-F238E27FC236}">
                  <a16:creationId xmlns:a16="http://schemas.microsoft.com/office/drawing/2014/main" id="{00000000-0008-0000-0100-00002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2</xdr:row>
          <xdr:rowOff>38100</xdr:rowOff>
        </xdr:from>
        <xdr:to>
          <xdr:col>41</xdr:col>
          <xdr:colOff>1019175</xdr:colOff>
          <xdr:row>3</xdr:row>
          <xdr:rowOff>9525</xdr:rowOff>
        </xdr:to>
        <xdr:sp macro="" textlink="">
          <xdr:nvSpPr>
            <xdr:cNvPr id="7206" name="TextBox2" hidden="1">
              <a:extLst>
                <a:ext uri="{63B3BB69-23CF-44E3-9099-C40C66FF867C}">
                  <a14:compatExt spid="_x0000_s7206"/>
                </a:ext>
                <a:ext uri="{FF2B5EF4-FFF2-40B4-BE49-F238E27FC236}">
                  <a16:creationId xmlns:a16="http://schemas.microsoft.com/office/drawing/2014/main" id="{00000000-0008-0000-0100-00002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3</xdr:row>
          <xdr:rowOff>38100</xdr:rowOff>
        </xdr:from>
        <xdr:to>
          <xdr:col>41</xdr:col>
          <xdr:colOff>1019175</xdr:colOff>
          <xdr:row>4</xdr:row>
          <xdr:rowOff>9525</xdr:rowOff>
        </xdr:to>
        <xdr:sp macro="" textlink="">
          <xdr:nvSpPr>
            <xdr:cNvPr id="7207" name="TextBox3" hidden="1">
              <a:extLst>
                <a:ext uri="{63B3BB69-23CF-44E3-9099-C40C66FF867C}">
                  <a14:compatExt spid="_x0000_s7207"/>
                </a:ext>
                <a:ext uri="{FF2B5EF4-FFF2-40B4-BE49-F238E27FC236}">
                  <a16:creationId xmlns:a16="http://schemas.microsoft.com/office/drawing/2014/main" id="{00000000-0008-0000-0100-00002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4</xdr:row>
          <xdr:rowOff>38100</xdr:rowOff>
        </xdr:from>
        <xdr:to>
          <xdr:col>41</xdr:col>
          <xdr:colOff>1019175</xdr:colOff>
          <xdr:row>5</xdr:row>
          <xdr:rowOff>9525</xdr:rowOff>
        </xdr:to>
        <xdr:sp macro="" textlink="">
          <xdr:nvSpPr>
            <xdr:cNvPr id="7208" name="TextBox4" hidden="1">
              <a:extLst>
                <a:ext uri="{63B3BB69-23CF-44E3-9099-C40C66FF867C}">
                  <a14:compatExt spid="_x0000_s7208"/>
                </a:ext>
                <a:ext uri="{FF2B5EF4-FFF2-40B4-BE49-F238E27FC236}">
                  <a16:creationId xmlns:a16="http://schemas.microsoft.com/office/drawing/2014/main" id="{00000000-0008-0000-0100-00002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5</xdr:row>
          <xdr:rowOff>38100</xdr:rowOff>
        </xdr:from>
        <xdr:to>
          <xdr:col>41</xdr:col>
          <xdr:colOff>1019175</xdr:colOff>
          <xdr:row>6</xdr:row>
          <xdr:rowOff>9525</xdr:rowOff>
        </xdr:to>
        <xdr:sp macro="" textlink="">
          <xdr:nvSpPr>
            <xdr:cNvPr id="7209" name="TextBox5" hidden="1">
              <a:extLst>
                <a:ext uri="{63B3BB69-23CF-44E3-9099-C40C66FF867C}">
                  <a14:compatExt spid="_x0000_s7209"/>
                </a:ext>
                <a:ext uri="{FF2B5EF4-FFF2-40B4-BE49-F238E27FC236}">
                  <a16:creationId xmlns:a16="http://schemas.microsoft.com/office/drawing/2014/main" id="{00000000-0008-0000-0100-00002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6</xdr:row>
          <xdr:rowOff>38100</xdr:rowOff>
        </xdr:from>
        <xdr:to>
          <xdr:col>41</xdr:col>
          <xdr:colOff>1019175</xdr:colOff>
          <xdr:row>7</xdr:row>
          <xdr:rowOff>9525</xdr:rowOff>
        </xdr:to>
        <xdr:sp macro="" textlink="">
          <xdr:nvSpPr>
            <xdr:cNvPr id="7210" name="TextBox6" hidden="1">
              <a:extLst>
                <a:ext uri="{63B3BB69-23CF-44E3-9099-C40C66FF867C}">
                  <a14:compatExt spid="_x0000_s7210"/>
                </a:ext>
                <a:ext uri="{FF2B5EF4-FFF2-40B4-BE49-F238E27FC236}">
                  <a16:creationId xmlns:a16="http://schemas.microsoft.com/office/drawing/2014/main" id="{00000000-0008-0000-0100-00002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7</xdr:row>
          <xdr:rowOff>38100</xdr:rowOff>
        </xdr:from>
        <xdr:to>
          <xdr:col>41</xdr:col>
          <xdr:colOff>1019175</xdr:colOff>
          <xdr:row>8</xdr:row>
          <xdr:rowOff>9525</xdr:rowOff>
        </xdr:to>
        <xdr:sp macro="" textlink="">
          <xdr:nvSpPr>
            <xdr:cNvPr id="7211" name="TextBox7" hidden="1">
              <a:extLst>
                <a:ext uri="{63B3BB69-23CF-44E3-9099-C40C66FF867C}">
                  <a14:compatExt spid="_x0000_s7211"/>
                </a:ext>
                <a:ext uri="{FF2B5EF4-FFF2-40B4-BE49-F238E27FC236}">
                  <a16:creationId xmlns:a16="http://schemas.microsoft.com/office/drawing/2014/main" id="{00000000-0008-0000-0100-00002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8</xdr:row>
          <xdr:rowOff>38100</xdr:rowOff>
        </xdr:from>
        <xdr:to>
          <xdr:col>41</xdr:col>
          <xdr:colOff>1019175</xdr:colOff>
          <xdr:row>9</xdr:row>
          <xdr:rowOff>9525</xdr:rowOff>
        </xdr:to>
        <xdr:sp macro="" textlink="">
          <xdr:nvSpPr>
            <xdr:cNvPr id="7212" name="TextBox8" hidden="1">
              <a:extLst>
                <a:ext uri="{63B3BB69-23CF-44E3-9099-C40C66FF867C}">
                  <a14:compatExt spid="_x0000_s7212"/>
                </a:ext>
                <a:ext uri="{FF2B5EF4-FFF2-40B4-BE49-F238E27FC236}">
                  <a16:creationId xmlns:a16="http://schemas.microsoft.com/office/drawing/2014/main" id="{00000000-0008-0000-0100-00002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914400</xdr:colOff>
          <xdr:row>1</xdr:row>
          <xdr:rowOff>38100</xdr:rowOff>
        </xdr:from>
        <xdr:to>
          <xdr:col>43</xdr:col>
          <xdr:colOff>752475</xdr:colOff>
          <xdr:row>2</xdr:row>
          <xdr:rowOff>9525</xdr:rowOff>
        </xdr:to>
        <xdr:sp macro="" textlink="">
          <xdr:nvSpPr>
            <xdr:cNvPr id="7221" name="TextBox17" hidden="1">
              <a:extLst>
                <a:ext uri="{63B3BB69-23CF-44E3-9099-C40C66FF867C}">
                  <a14:compatExt spid="_x0000_s7221"/>
                </a:ext>
                <a:ext uri="{FF2B5EF4-FFF2-40B4-BE49-F238E27FC236}">
                  <a16:creationId xmlns:a16="http://schemas.microsoft.com/office/drawing/2014/main" id="{00000000-0008-0000-0100-00003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914400</xdr:colOff>
          <xdr:row>2</xdr:row>
          <xdr:rowOff>38100</xdr:rowOff>
        </xdr:from>
        <xdr:to>
          <xdr:col>43</xdr:col>
          <xdr:colOff>752475</xdr:colOff>
          <xdr:row>3</xdr:row>
          <xdr:rowOff>9525</xdr:rowOff>
        </xdr:to>
        <xdr:sp macro="" textlink="">
          <xdr:nvSpPr>
            <xdr:cNvPr id="7222" name="TextBox18" hidden="1">
              <a:extLst>
                <a:ext uri="{63B3BB69-23CF-44E3-9099-C40C66FF867C}">
                  <a14:compatExt spid="_x0000_s7222"/>
                </a:ext>
                <a:ext uri="{FF2B5EF4-FFF2-40B4-BE49-F238E27FC236}">
                  <a16:creationId xmlns:a16="http://schemas.microsoft.com/office/drawing/2014/main" id="{00000000-0008-0000-0100-00003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914400</xdr:colOff>
          <xdr:row>3</xdr:row>
          <xdr:rowOff>38100</xdr:rowOff>
        </xdr:from>
        <xdr:to>
          <xdr:col>43</xdr:col>
          <xdr:colOff>752475</xdr:colOff>
          <xdr:row>4</xdr:row>
          <xdr:rowOff>9525</xdr:rowOff>
        </xdr:to>
        <xdr:sp macro="" textlink="">
          <xdr:nvSpPr>
            <xdr:cNvPr id="7223" name="TextBox19" hidden="1">
              <a:extLst>
                <a:ext uri="{63B3BB69-23CF-44E3-9099-C40C66FF867C}">
                  <a14:compatExt spid="_x0000_s7223"/>
                </a:ext>
                <a:ext uri="{FF2B5EF4-FFF2-40B4-BE49-F238E27FC236}">
                  <a16:creationId xmlns:a16="http://schemas.microsoft.com/office/drawing/2014/main" id="{00000000-0008-0000-0100-00003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914400</xdr:colOff>
          <xdr:row>4</xdr:row>
          <xdr:rowOff>38100</xdr:rowOff>
        </xdr:from>
        <xdr:to>
          <xdr:col>43</xdr:col>
          <xdr:colOff>752475</xdr:colOff>
          <xdr:row>5</xdr:row>
          <xdr:rowOff>9525</xdr:rowOff>
        </xdr:to>
        <xdr:sp macro="" textlink="">
          <xdr:nvSpPr>
            <xdr:cNvPr id="7224" name="TextBox20" hidden="1">
              <a:extLst>
                <a:ext uri="{63B3BB69-23CF-44E3-9099-C40C66FF867C}">
                  <a14:compatExt spid="_x0000_s7224"/>
                </a:ext>
                <a:ext uri="{FF2B5EF4-FFF2-40B4-BE49-F238E27FC236}">
                  <a16:creationId xmlns:a16="http://schemas.microsoft.com/office/drawing/2014/main" id="{00000000-0008-0000-0100-00003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914400</xdr:colOff>
          <xdr:row>5</xdr:row>
          <xdr:rowOff>38100</xdr:rowOff>
        </xdr:from>
        <xdr:to>
          <xdr:col>43</xdr:col>
          <xdr:colOff>752475</xdr:colOff>
          <xdr:row>6</xdr:row>
          <xdr:rowOff>9525</xdr:rowOff>
        </xdr:to>
        <xdr:sp macro="" textlink="">
          <xdr:nvSpPr>
            <xdr:cNvPr id="7225" name="TextBox21" hidden="1">
              <a:extLst>
                <a:ext uri="{63B3BB69-23CF-44E3-9099-C40C66FF867C}">
                  <a14:compatExt spid="_x0000_s7225"/>
                </a:ext>
                <a:ext uri="{FF2B5EF4-FFF2-40B4-BE49-F238E27FC236}">
                  <a16:creationId xmlns:a16="http://schemas.microsoft.com/office/drawing/2014/main" id="{00000000-0008-0000-0100-00003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914400</xdr:colOff>
          <xdr:row>6</xdr:row>
          <xdr:rowOff>38100</xdr:rowOff>
        </xdr:from>
        <xdr:to>
          <xdr:col>43</xdr:col>
          <xdr:colOff>752475</xdr:colOff>
          <xdr:row>7</xdr:row>
          <xdr:rowOff>9525</xdr:rowOff>
        </xdr:to>
        <xdr:sp macro="" textlink="">
          <xdr:nvSpPr>
            <xdr:cNvPr id="7226" name="TextBox22" hidden="1">
              <a:extLst>
                <a:ext uri="{63B3BB69-23CF-44E3-9099-C40C66FF867C}">
                  <a14:compatExt spid="_x0000_s7226"/>
                </a:ext>
                <a:ext uri="{FF2B5EF4-FFF2-40B4-BE49-F238E27FC236}">
                  <a16:creationId xmlns:a16="http://schemas.microsoft.com/office/drawing/2014/main" id="{00000000-0008-0000-0100-00003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914400</xdr:colOff>
          <xdr:row>7</xdr:row>
          <xdr:rowOff>38100</xdr:rowOff>
        </xdr:from>
        <xdr:to>
          <xdr:col>43</xdr:col>
          <xdr:colOff>752475</xdr:colOff>
          <xdr:row>8</xdr:row>
          <xdr:rowOff>9525</xdr:rowOff>
        </xdr:to>
        <xdr:sp macro="" textlink="">
          <xdr:nvSpPr>
            <xdr:cNvPr id="7227" name="TextBox23" hidden="1">
              <a:extLst>
                <a:ext uri="{63B3BB69-23CF-44E3-9099-C40C66FF867C}">
                  <a14:compatExt spid="_x0000_s7227"/>
                </a:ext>
                <a:ext uri="{FF2B5EF4-FFF2-40B4-BE49-F238E27FC236}">
                  <a16:creationId xmlns:a16="http://schemas.microsoft.com/office/drawing/2014/main" id="{00000000-0008-0000-0100-00003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914400</xdr:colOff>
          <xdr:row>8</xdr:row>
          <xdr:rowOff>38100</xdr:rowOff>
        </xdr:from>
        <xdr:to>
          <xdr:col>43</xdr:col>
          <xdr:colOff>752475</xdr:colOff>
          <xdr:row>9</xdr:row>
          <xdr:rowOff>9525</xdr:rowOff>
        </xdr:to>
        <xdr:sp macro="" textlink="">
          <xdr:nvSpPr>
            <xdr:cNvPr id="7228" name="TextBox24" hidden="1">
              <a:extLst>
                <a:ext uri="{63B3BB69-23CF-44E3-9099-C40C66FF867C}">
                  <a14:compatExt spid="_x0000_s7228"/>
                </a:ext>
                <a:ext uri="{FF2B5EF4-FFF2-40B4-BE49-F238E27FC236}">
                  <a16:creationId xmlns:a16="http://schemas.microsoft.com/office/drawing/2014/main" id="{00000000-0008-0000-0100-00003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44</xdr:col>
          <xdr:colOff>647700</xdr:colOff>
          <xdr:row>1</xdr:row>
          <xdr:rowOff>38100</xdr:rowOff>
        </xdr:from>
        <xdr:to>
          <xdr:col>45</xdr:col>
          <xdr:colOff>485775</xdr:colOff>
          <xdr:row>2</xdr:row>
          <xdr:rowOff>9525</xdr:rowOff>
        </xdr:to>
        <xdr:sp macro="" textlink="">
          <xdr:nvSpPr>
            <xdr:cNvPr id="7237" name="TextBox33" hidden="1">
              <a:extLst>
                <a:ext uri="{63B3BB69-23CF-44E3-9099-C40C66FF867C}">
                  <a14:compatExt spid="_x0000_s7237"/>
                </a:ext>
                <a:ext uri="{FF2B5EF4-FFF2-40B4-BE49-F238E27FC236}">
                  <a16:creationId xmlns:a16="http://schemas.microsoft.com/office/drawing/2014/main" id="{00000000-0008-0000-0100-00004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44</xdr:col>
          <xdr:colOff>647700</xdr:colOff>
          <xdr:row>2</xdr:row>
          <xdr:rowOff>38100</xdr:rowOff>
        </xdr:from>
        <xdr:to>
          <xdr:col>45</xdr:col>
          <xdr:colOff>485775</xdr:colOff>
          <xdr:row>3</xdr:row>
          <xdr:rowOff>9525</xdr:rowOff>
        </xdr:to>
        <xdr:sp macro="" textlink="">
          <xdr:nvSpPr>
            <xdr:cNvPr id="7238" name="TextBox34" hidden="1">
              <a:extLst>
                <a:ext uri="{63B3BB69-23CF-44E3-9099-C40C66FF867C}">
                  <a14:compatExt spid="_x0000_s7238"/>
                </a:ext>
                <a:ext uri="{FF2B5EF4-FFF2-40B4-BE49-F238E27FC236}">
                  <a16:creationId xmlns:a16="http://schemas.microsoft.com/office/drawing/2014/main" id="{00000000-0008-0000-0100-00004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44</xdr:col>
          <xdr:colOff>647700</xdr:colOff>
          <xdr:row>3</xdr:row>
          <xdr:rowOff>38100</xdr:rowOff>
        </xdr:from>
        <xdr:to>
          <xdr:col>45</xdr:col>
          <xdr:colOff>485775</xdr:colOff>
          <xdr:row>4</xdr:row>
          <xdr:rowOff>9525</xdr:rowOff>
        </xdr:to>
        <xdr:sp macro="" textlink="">
          <xdr:nvSpPr>
            <xdr:cNvPr id="7239" name="TextBox35" hidden="1">
              <a:extLst>
                <a:ext uri="{63B3BB69-23CF-44E3-9099-C40C66FF867C}">
                  <a14:compatExt spid="_x0000_s7239"/>
                </a:ext>
                <a:ext uri="{FF2B5EF4-FFF2-40B4-BE49-F238E27FC236}">
                  <a16:creationId xmlns:a16="http://schemas.microsoft.com/office/drawing/2014/main" id="{00000000-0008-0000-0100-00004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44</xdr:col>
          <xdr:colOff>647700</xdr:colOff>
          <xdr:row>4</xdr:row>
          <xdr:rowOff>38100</xdr:rowOff>
        </xdr:from>
        <xdr:to>
          <xdr:col>45</xdr:col>
          <xdr:colOff>485775</xdr:colOff>
          <xdr:row>5</xdr:row>
          <xdr:rowOff>9525</xdr:rowOff>
        </xdr:to>
        <xdr:sp macro="" textlink="">
          <xdr:nvSpPr>
            <xdr:cNvPr id="7240" name="TextBox36" hidden="1">
              <a:extLst>
                <a:ext uri="{63B3BB69-23CF-44E3-9099-C40C66FF867C}">
                  <a14:compatExt spid="_x0000_s7240"/>
                </a:ext>
                <a:ext uri="{FF2B5EF4-FFF2-40B4-BE49-F238E27FC236}">
                  <a16:creationId xmlns:a16="http://schemas.microsoft.com/office/drawing/2014/main" id="{00000000-0008-0000-0100-00004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44</xdr:col>
          <xdr:colOff>647700</xdr:colOff>
          <xdr:row>5</xdr:row>
          <xdr:rowOff>38100</xdr:rowOff>
        </xdr:from>
        <xdr:to>
          <xdr:col>45</xdr:col>
          <xdr:colOff>485775</xdr:colOff>
          <xdr:row>6</xdr:row>
          <xdr:rowOff>9525</xdr:rowOff>
        </xdr:to>
        <xdr:sp macro="" textlink="">
          <xdr:nvSpPr>
            <xdr:cNvPr id="7241" name="TextBox37" hidden="1">
              <a:extLst>
                <a:ext uri="{63B3BB69-23CF-44E3-9099-C40C66FF867C}">
                  <a14:compatExt spid="_x0000_s7241"/>
                </a:ext>
                <a:ext uri="{FF2B5EF4-FFF2-40B4-BE49-F238E27FC236}">
                  <a16:creationId xmlns:a16="http://schemas.microsoft.com/office/drawing/2014/main" id="{00000000-0008-0000-0100-00004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44</xdr:col>
          <xdr:colOff>647700</xdr:colOff>
          <xdr:row>6</xdr:row>
          <xdr:rowOff>38100</xdr:rowOff>
        </xdr:from>
        <xdr:to>
          <xdr:col>45</xdr:col>
          <xdr:colOff>485775</xdr:colOff>
          <xdr:row>7</xdr:row>
          <xdr:rowOff>9525</xdr:rowOff>
        </xdr:to>
        <xdr:sp macro="" textlink="">
          <xdr:nvSpPr>
            <xdr:cNvPr id="7242" name="TextBox38" hidden="1">
              <a:extLst>
                <a:ext uri="{63B3BB69-23CF-44E3-9099-C40C66FF867C}">
                  <a14:compatExt spid="_x0000_s7242"/>
                </a:ext>
                <a:ext uri="{FF2B5EF4-FFF2-40B4-BE49-F238E27FC236}">
                  <a16:creationId xmlns:a16="http://schemas.microsoft.com/office/drawing/2014/main" id="{00000000-0008-0000-0100-00004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44</xdr:col>
          <xdr:colOff>647700</xdr:colOff>
          <xdr:row>7</xdr:row>
          <xdr:rowOff>38100</xdr:rowOff>
        </xdr:from>
        <xdr:to>
          <xdr:col>45</xdr:col>
          <xdr:colOff>485775</xdr:colOff>
          <xdr:row>8</xdr:row>
          <xdr:rowOff>9525</xdr:rowOff>
        </xdr:to>
        <xdr:sp macro="" textlink="">
          <xdr:nvSpPr>
            <xdr:cNvPr id="7243" name="TextBox39" hidden="1">
              <a:extLst>
                <a:ext uri="{63B3BB69-23CF-44E3-9099-C40C66FF867C}">
                  <a14:compatExt spid="_x0000_s7243"/>
                </a:ext>
                <a:ext uri="{FF2B5EF4-FFF2-40B4-BE49-F238E27FC236}">
                  <a16:creationId xmlns:a16="http://schemas.microsoft.com/office/drawing/2014/main" id="{00000000-0008-0000-0100-00004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44</xdr:col>
          <xdr:colOff>647700</xdr:colOff>
          <xdr:row>8</xdr:row>
          <xdr:rowOff>38100</xdr:rowOff>
        </xdr:from>
        <xdr:to>
          <xdr:col>45</xdr:col>
          <xdr:colOff>485775</xdr:colOff>
          <xdr:row>9</xdr:row>
          <xdr:rowOff>9525</xdr:rowOff>
        </xdr:to>
        <xdr:sp macro="" textlink="">
          <xdr:nvSpPr>
            <xdr:cNvPr id="7244" name="TextBox40" hidden="1">
              <a:extLst>
                <a:ext uri="{63B3BB69-23CF-44E3-9099-C40C66FF867C}">
                  <a14:compatExt spid="_x0000_s7244"/>
                </a:ext>
                <a:ext uri="{FF2B5EF4-FFF2-40B4-BE49-F238E27FC236}">
                  <a16:creationId xmlns:a16="http://schemas.microsoft.com/office/drawing/2014/main" id="{00000000-0008-0000-0100-00004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66675</xdr:colOff>
          <xdr:row>0</xdr:row>
          <xdr:rowOff>28575</xdr:rowOff>
        </xdr:from>
        <xdr:to>
          <xdr:col>47</xdr:col>
          <xdr:colOff>1171575</xdr:colOff>
          <xdr:row>1</xdr:row>
          <xdr:rowOff>0</xdr:rowOff>
        </xdr:to>
        <xdr:sp macro="" textlink="">
          <xdr:nvSpPr>
            <xdr:cNvPr id="7262" name="TextBoxTITLE" hidden="1">
              <a:extLst>
                <a:ext uri="{63B3BB69-23CF-44E3-9099-C40C66FF867C}">
                  <a14:compatExt spid="_x0000_s7262"/>
                </a:ext>
                <a:ext uri="{FF2B5EF4-FFF2-40B4-BE49-F238E27FC236}">
                  <a16:creationId xmlns:a16="http://schemas.microsoft.com/office/drawing/2014/main" id="{00000000-0008-0000-0100-00005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46</xdr:col>
          <xdr:colOff>400050</xdr:colOff>
          <xdr:row>1</xdr:row>
          <xdr:rowOff>47625</xdr:rowOff>
        </xdr:from>
        <xdr:to>
          <xdr:col>47</xdr:col>
          <xdr:colOff>238125</xdr:colOff>
          <xdr:row>2</xdr:row>
          <xdr:rowOff>19050</xdr:rowOff>
        </xdr:to>
        <xdr:sp macro="" textlink="">
          <xdr:nvSpPr>
            <xdr:cNvPr id="7266" name="TextBox49" hidden="1">
              <a:extLst>
                <a:ext uri="{63B3BB69-23CF-44E3-9099-C40C66FF867C}">
                  <a14:compatExt spid="_x0000_s7266"/>
                </a:ext>
                <a:ext uri="{FF2B5EF4-FFF2-40B4-BE49-F238E27FC236}">
                  <a16:creationId xmlns:a16="http://schemas.microsoft.com/office/drawing/2014/main" id="{00000000-0008-0000-0100-00006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46</xdr:col>
          <xdr:colOff>400050</xdr:colOff>
          <xdr:row>2</xdr:row>
          <xdr:rowOff>47625</xdr:rowOff>
        </xdr:from>
        <xdr:to>
          <xdr:col>47</xdr:col>
          <xdr:colOff>238125</xdr:colOff>
          <xdr:row>3</xdr:row>
          <xdr:rowOff>19050</xdr:rowOff>
        </xdr:to>
        <xdr:sp macro="" textlink="">
          <xdr:nvSpPr>
            <xdr:cNvPr id="7267" name="TextBox50" hidden="1">
              <a:extLst>
                <a:ext uri="{63B3BB69-23CF-44E3-9099-C40C66FF867C}">
                  <a14:compatExt spid="_x0000_s7267"/>
                </a:ext>
                <a:ext uri="{FF2B5EF4-FFF2-40B4-BE49-F238E27FC236}">
                  <a16:creationId xmlns:a16="http://schemas.microsoft.com/office/drawing/2014/main" id="{00000000-0008-0000-0100-00006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46</xdr:col>
          <xdr:colOff>400050</xdr:colOff>
          <xdr:row>3</xdr:row>
          <xdr:rowOff>47625</xdr:rowOff>
        </xdr:from>
        <xdr:to>
          <xdr:col>47</xdr:col>
          <xdr:colOff>238125</xdr:colOff>
          <xdr:row>4</xdr:row>
          <xdr:rowOff>19050</xdr:rowOff>
        </xdr:to>
        <xdr:sp macro="" textlink="">
          <xdr:nvSpPr>
            <xdr:cNvPr id="7268" name="TextBox51" hidden="1">
              <a:extLst>
                <a:ext uri="{63B3BB69-23CF-44E3-9099-C40C66FF867C}">
                  <a14:compatExt spid="_x0000_s7268"/>
                </a:ext>
                <a:ext uri="{FF2B5EF4-FFF2-40B4-BE49-F238E27FC236}">
                  <a16:creationId xmlns:a16="http://schemas.microsoft.com/office/drawing/2014/main" id="{00000000-0008-0000-0100-00006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46</xdr:col>
          <xdr:colOff>400050</xdr:colOff>
          <xdr:row>4</xdr:row>
          <xdr:rowOff>47625</xdr:rowOff>
        </xdr:from>
        <xdr:to>
          <xdr:col>47</xdr:col>
          <xdr:colOff>238125</xdr:colOff>
          <xdr:row>5</xdr:row>
          <xdr:rowOff>19050</xdr:rowOff>
        </xdr:to>
        <xdr:sp macro="" textlink="">
          <xdr:nvSpPr>
            <xdr:cNvPr id="7269" name="TextBox52" hidden="1">
              <a:extLst>
                <a:ext uri="{63B3BB69-23CF-44E3-9099-C40C66FF867C}">
                  <a14:compatExt spid="_x0000_s7269"/>
                </a:ext>
                <a:ext uri="{FF2B5EF4-FFF2-40B4-BE49-F238E27FC236}">
                  <a16:creationId xmlns:a16="http://schemas.microsoft.com/office/drawing/2014/main" id="{00000000-0008-0000-0100-00006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46</xdr:col>
          <xdr:colOff>400050</xdr:colOff>
          <xdr:row>5</xdr:row>
          <xdr:rowOff>47625</xdr:rowOff>
        </xdr:from>
        <xdr:to>
          <xdr:col>47</xdr:col>
          <xdr:colOff>238125</xdr:colOff>
          <xdr:row>6</xdr:row>
          <xdr:rowOff>19050</xdr:rowOff>
        </xdr:to>
        <xdr:sp macro="" textlink="">
          <xdr:nvSpPr>
            <xdr:cNvPr id="7270" name="TextBox53" hidden="1">
              <a:extLst>
                <a:ext uri="{63B3BB69-23CF-44E3-9099-C40C66FF867C}">
                  <a14:compatExt spid="_x0000_s7270"/>
                </a:ext>
                <a:ext uri="{FF2B5EF4-FFF2-40B4-BE49-F238E27FC236}">
                  <a16:creationId xmlns:a16="http://schemas.microsoft.com/office/drawing/2014/main" id="{00000000-0008-0000-0100-00006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46</xdr:col>
          <xdr:colOff>400050</xdr:colOff>
          <xdr:row>6</xdr:row>
          <xdr:rowOff>47625</xdr:rowOff>
        </xdr:from>
        <xdr:to>
          <xdr:col>47</xdr:col>
          <xdr:colOff>238125</xdr:colOff>
          <xdr:row>7</xdr:row>
          <xdr:rowOff>19050</xdr:rowOff>
        </xdr:to>
        <xdr:sp macro="" textlink="">
          <xdr:nvSpPr>
            <xdr:cNvPr id="7271" name="TextBox54" hidden="1">
              <a:extLst>
                <a:ext uri="{63B3BB69-23CF-44E3-9099-C40C66FF867C}">
                  <a14:compatExt spid="_x0000_s7271"/>
                </a:ext>
                <a:ext uri="{FF2B5EF4-FFF2-40B4-BE49-F238E27FC236}">
                  <a16:creationId xmlns:a16="http://schemas.microsoft.com/office/drawing/2014/main" id="{00000000-0008-0000-0100-00006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46</xdr:col>
          <xdr:colOff>400050</xdr:colOff>
          <xdr:row>7</xdr:row>
          <xdr:rowOff>47625</xdr:rowOff>
        </xdr:from>
        <xdr:to>
          <xdr:col>47</xdr:col>
          <xdr:colOff>238125</xdr:colOff>
          <xdr:row>8</xdr:row>
          <xdr:rowOff>19050</xdr:rowOff>
        </xdr:to>
        <xdr:sp macro="" textlink="">
          <xdr:nvSpPr>
            <xdr:cNvPr id="7272" name="TextBox55" hidden="1">
              <a:extLst>
                <a:ext uri="{63B3BB69-23CF-44E3-9099-C40C66FF867C}">
                  <a14:compatExt spid="_x0000_s7272"/>
                </a:ext>
                <a:ext uri="{FF2B5EF4-FFF2-40B4-BE49-F238E27FC236}">
                  <a16:creationId xmlns:a16="http://schemas.microsoft.com/office/drawing/2014/main" id="{00000000-0008-0000-0100-00006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46</xdr:col>
          <xdr:colOff>400050</xdr:colOff>
          <xdr:row>8</xdr:row>
          <xdr:rowOff>47625</xdr:rowOff>
        </xdr:from>
        <xdr:to>
          <xdr:col>47</xdr:col>
          <xdr:colOff>238125</xdr:colOff>
          <xdr:row>9</xdr:row>
          <xdr:rowOff>19050</xdr:rowOff>
        </xdr:to>
        <xdr:sp macro="" textlink="">
          <xdr:nvSpPr>
            <xdr:cNvPr id="7273" name="TextBox56" hidden="1">
              <a:extLst>
                <a:ext uri="{63B3BB69-23CF-44E3-9099-C40C66FF867C}">
                  <a14:compatExt spid="_x0000_s7273"/>
                </a:ext>
                <a:ext uri="{FF2B5EF4-FFF2-40B4-BE49-F238E27FC236}">
                  <a16:creationId xmlns:a16="http://schemas.microsoft.com/office/drawing/2014/main" id="{00000000-0008-0000-0100-00006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6</xdr:row>
          <xdr:rowOff>19050</xdr:rowOff>
        </xdr:from>
        <xdr:to>
          <xdr:col>32</xdr:col>
          <xdr:colOff>857250</xdr:colOff>
          <xdr:row>7</xdr:row>
          <xdr:rowOff>152400</xdr:rowOff>
        </xdr:to>
        <xdr:sp macro="" textlink="">
          <xdr:nvSpPr>
            <xdr:cNvPr id="7311" name="cmdAdmin" hidden="1">
              <a:extLst>
                <a:ext uri="{63B3BB69-23CF-44E3-9099-C40C66FF867C}">
                  <a14:compatExt spid="_x0000_s7311"/>
                </a:ext>
                <a:ext uri="{FF2B5EF4-FFF2-40B4-BE49-F238E27FC236}">
                  <a16:creationId xmlns:a16="http://schemas.microsoft.com/office/drawing/2014/main" id="{00000000-0008-0000-0100-00008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1057275</xdr:colOff>
          <xdr:row>1</xdr:row>
          <xdr:rowOff>28575</xdr:rowOff>
        </xdr:from>
        <xdr:to>
          <xdr:col>42</xdr:col>
          <xdr:colOff>914400</xdr:colOff>
          <xdr:row>2</xdr:row>
          <xdr:rowOff>28575</xdr:rowOff>
        </xdr:to>
        <xdr:sp macro="" textlink="">
          <xdr:nvSpPr>
            <xdr:cNvPr id="7335" name="cmbSlot1" hidden="1">
              <a:extLst>
                <a:ext uri="{63B3BB69-23CF-44E3-9099-C40C66FF867C}">
                  <a14:compatExt spid="_x0000_s7335"/>
                </a:ext>
                <a:ext uri="{FF2B5EF4-FFF2-40B4-BE49-F238E27FC236}">
                  <a16:creationId xmlns:a16="http://schemas.microsoft.com/office/drawing/2014/main" id="{00000000-0008-0000-0100-0000A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1057275</xdr:colOff>
          <xdr:row>2</xdr:row>
          <xdr:rowOff>28575</xdr:rowOff>
        </xdr:from>
        <xdr:to>
          <xdr:col>42</xdr:col>
          <xdr:colOff>914400</xdr:colOff>
          <xdr:row>3</xdr:row>
          <xdr:rowOff>28575</xdr:rowOff>
        </xdr:to>
        <xdr:sp macro="" textlink="">
          <xdr:nvSpPr>
            <xdr:cNvPr id="7336" name="cmbSlot2" hidden="1">
              <a:extLst>
                <a:ext uri="{63B3BB69-23CF-44E3-9099-C40C66FF867C}">
                  <a14:compatExt spid="_x0000_s7336"/>
                </a:ext>
                <a:ext uri="{FF2B5EF4-FFF2-40B4-BE49-F238E27FC236}">
                  <a16:creationId xmlns:a16="http://schemas.microsoft.com/office/drawing/2014/main" id="{00000000-0008-0000-0100-0000A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1057275</xdr:colOff>
          <xdr:row>5</xdr:row>
          <xdr:rowOff>28575</xdr:rowOff>
        </xdr:from>
        <xdr:to>
          <xdr:col>42</xdr:col>
          <xdr:colOff>914400</xdr:colOff>
          <xdr:row>6</xdr:row>
          <xdr:rowOff>28575</xdr:rowOff>
        </xdr:to>
        <xdr:sp macro="" textlink="">
          <xdr:nvSpPr>
            <xdr:cNvPr id="7339" name="cmbSlot5" hidden="1">
              <a:extLst>
                <a:ext uri="{63B3BB69-23CF-44E3-9099-C40C66FF867C}">
                  <a14:compatExt spid="_x0000_s7339"/>
                </a:ext>
                <a:ext uri="{FF2B5EF4-FFF2-40B4-BE49-F238E27FC236}">
                  <a16:creationId xmlns:a16="http://schemas.microsoft.com/office/drawing/2014/main" id="{00000000-0008-0000-0100-0000A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1057275</xdr:colOff>
          <xdr:row>6</xdr:row>
          <xdr:rowOff>28575</xdr:rowOff>
        </xdr:from>
        <xdr:to>
          <xdr:col>42</xdr:col>
          <xdr:colOff>914400</xdr:colOff>
          <xdr:row>7</xdr:row>
          <xdr:rowOff>28575</xdr:rowOff>
        </xdr:to>
        <xdr:sp macro="" textlink="">
          <xdr:nvSpPr>
            <xdr:cNvPr id="7340" name="cmbSlot6" hidden="1">
              <a:extLst>
                <a:ext uri="{63B3BB69-23CF-44E3-9099-C40C66FF867C}">
                  <a14:compatExt spid="_x0000_s7340"/>
                </a:ext>
                <a:ext uri="{FF2B5EF4-FFF2-40B4-BE49-F238E27FC236}">
                  <a16:creationId xmlns:a16="http://schemas.microsoft.com/office/drawing/2014/main" id="{00000000-0008-0000-0100-0000A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1057275</xdr:colOff>
          <xdr:row>7</xdr:row>
          <xdr:rowOff>28575</xdr:rowOff>
        </xdr:from>
        <xdr:to>
          <xdr:col>42</xdr:col>
          <xdr:colOff>914400</xdr:colOff>
          <xdr:row>8</xdr:row>
          <xdr:rowOff>28575</xdr:rowOff>
        </xdr:to>
        <xdr:sp macro="" textlink="">
          <xdr:nvSpPr>
            <xdr:cNvPr id="7341" name="cmbSlot7" hidden="1">
              <a:extLst>
                <a:ext uri="{63B3BB69-23CF-44E3-9099-C40C66FF867C}">
                  <a14:compatExt spid="_x0000_s7341"/>
                </a:ext>
                <a:ext uri="{FF2B5EF4-FFF2-40B4-BE49-F238E27FC236}">
                  <a16:creationId xmlns:a16="http://schemas.microsoft.com/office/drawing/2014/main" id="{00000000-0008-0000-0100-0000A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1057275</xdr:colOff>
          <xdr:row>8</xdr:row>
          <xdr:rowOff>28575</xdr:rowOff>
        </xdr:from>
        <xdr:to>
          <xdr:col>42</xdr:col>
          <xdr:colOff>914400</xdr:colOff>
          <xdr:row>9</xdr:row>
          <xdr:rowOff>28575</xdr:rowOff>
        </xdr:to>
        <xdr:sp macro="" textlink="">
          <xdr:nvSpPr>
            <xdr:cNvPr id="7342" name="cmbSlot8" hidden="1">
              <a:extLst>
                <a:ext uri="{63B3BB69-23CF-44E3-9099-C40C66FF867C}">
                  <a14:compatExt spid="_x0000_s7342"/>
                </a:ext>
                <a:ext uri="{FF2B5EF4-FFF2-40B4-BE49-F238E27FC236}">
                  <a16:creationId xmlns:a16="http://schemas.microsoft.com/office/drawing/2014/main" id="{00000000-0008-0000-0100-0000A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43</xdr:col>
          <xdr:colOff>771525</xdr:colOff>
          <xdr:row>1</xdr:row>
          <xdr:rowOff>38100</xdr:rowOff>
        </xdr:from>
        <xdr:to>
          <xdr:col>44</xdr:col>
          <xdr:colOff>628650</xdr:colOff>
          <xdr:row>2</xdr:row>
          <xdr:rowOff>38100</xdr:rowOff>
        </xdr:to>
        <xdr:sp macro="" textlink="">
          <xdr:nvSpPr>
            <xdr:cNvPr id="7343" name="cmbSlot9" hidden="1">
              <a:extLst>
                <a:ext uri="{63B3BB69-23CF-44E3-9099-C40C66FF867C}">
                  <a14:compatExt spid="_x0000_s7343"/>
                </a:ext>
                <a:ext uri="{FF2B5EF4-FFF2-40B4-BE49-F238E27FC236}">
                  <a16:creationId xmlns:a16="http://schemas.microsoft.com/office/drawing/2014/main" id="{00000000-0008-0000-0100-0000A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43</xdr:col>
          <xdr:colOff>771525</xdr:colOff>
          <xdr:row>2</xdr:row>
          <xdr:rowOff>28575</xdr:rowOff>
        </xdr:from>
        <xdr:to>
          <xdr:col>44</xdr:col>
          <xdr:colOff>628650</xdr:colOff>
          <xdr:row>3</xdr:row>
          <xdr:rowOff>28575</xdr:rowOff>
        </xdr:to>
        <xdr:sp macro="" textlink="">
          <xdr:nvSpPr>
            <xdr:cNvPr id="7344" name="cmbSlot10" hidden="1">
              <a:extLst>
                <a:ext uri="{63B3BB69-23CF-44E3-9099-C40C66FF867C}">
                  <a14:compatExt spid="_x0000_s7344"/>
                </a:ext>
                <a:ext uri="{FF2B5EF4-FFF2-40B4-BE49-F238E27FC236}">
                  <a16:creationId xmlns:a16="http://schemas.microsoft.com/office/drawing/2014/main" id="{00000000-0008-0000-0100-0000B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43</xdr:col>
          <xdr:colOff>771525</xdr:colOff>
          <xdr:row>3</xdr:row>
          <xdr:rowOff>28575</xdr:rowOff>
        </xdr:from>
        <xdr:to>
          <xdr:col>44</xdr:col>
          <xdr:colOff>628650</xdr:colOff>
          <xdr:row>4</xdr:row>
          <xdr:rowOff>28575</xdr:rowOff>
        </xdr:to>
        <xdr:sp macro="" textlink="">
          <xdr:nvSpPr>
            <xdr:cNvPr id="7345" name="cmbSlot11" hidden="1">
              <a:extLst>
                <a:ext uri="{63B3BB69-23CF-44E3-9099-C40C66FF867C}">
                  <a14:compatExt spid="_x0000_s7345"/>
                </a:ext>
                <a:ext uri="{FF2B5EF4-FFF2-40B4-BE49-F238E27FC236}">
                  <a16:creationId xmlns:a16="http://schemas.microsoft.com/office/drawing/2014/main" id="{00000000-0008-0000-0100-0000B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43</xdr:col>
          <xdr:colOff>771525</xdr:colOff>
          <xdr:row>4</xdr:row>
          <xdr:rowOff>28575</xdr:rowOff>
        </xdr:from>
        <xdr:to>
          <xdr:col>44</xdr:col>
          <xdr:colOff>628650</xdr:colOff>
          <xdr:row>5</xdr:row>
          <xdr:rowOff>28575</xdr:rowOff>
        </xdr:to>
        <xdr:sp macro="" textlink="">
          <xdr:nvSpPr>
            <xdr:cNvPr id="7346" name="cmbSlot12" hidden="1">
              <a:extLst>
                <a:ext uri="{63B3BB69-23CF-44E3-9099-C40C66FF867C}">
                  <a14:compatExt spid="_x0000_s7346"/>
                </a:ext>
                <a:ext uri="{FF2B5EF4-FFF2-40B4-BE49-F238E27FC236}">
                  <a16:creationId xmlns:a16="http://schemas.microsoft.com/office/drawing/2014/main" id="{00000000-0008-0000-0100-0000B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43</xdr:col>
          <xdr:colOff>771525</xdr:colOff>
          <xdr:row>5</xdr:row>
          <xdr:rowOff>28575</xdr:rowOff>
        </xdr:from>
        <xdr:to>
          <xdr:col>44</xdr:col>
          <xdr:colOff>628650</xdr:colOff>
          <xdr:row>6</xdr:row>
          <xdr:rowOff>28575</xdr:rowOff>
        </xdr:to>
        <xdr:sp macro="" textlink="">
          <xdr:nvSpPr>
            <xdr:cNvPr id="7347" name="cmbSlot13" hidden="1">
              <a:extLst>
                <a:ext uri="{63B3BB69-23CF-44E3-9099-C40C66FF867C}">
                  <a14:compatExt spid="_x0000_s7347"/>
                </a:ext>
                <a:ext uri="{FF2B5EF4-FFF2-40B4-BE49-F238E27FC236}">
                  <a16:creationId xmlns:a16="http://schemas.microsoft.com/office/drawing/2014/main" id="{00000000-0008-0000-0100-0000B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43</xdr:col>
          <xdr:colOff>771525</xdr:colOff>
          <xdr:row>6</xdr:row>
          <xdr:rowOff>28575</xdr:rowOff>
        </xdr:from>
        <xdr:to>
          <xdr:col>44</xdr:col>
          <xdr:colOff>628650</xdr:colOff>
          <xdr:row>7</xdr:row>
          <xdr:rowOff>28575</xdr:rowOff>
        </xdr:to>
        <xdr:sp macro="" textlink="">
          <xdr:nvSpPr>
            <xdr:cNvPr id="7348" name="cmbSlot14" hidden="1">
              <a:extLst>
                <a:ext uri="{63B3BB69-23CF-44E3-9099-C40C66FF867C}">
                  <a14:compatExt spid="_x0000_s7348"/>
                </a:ext>
                <a:ext uri="{FF2B5EF4-FFF2-40B4-BE49-F238E27FC236}">
                  <a16:creationId xmlns:a16="http://schemas.microsoft.com/office/drawing/2014/main" id="{00000000-0008-0000-0100-0000B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43</xdr:col>
          <xdr:colOff>771525</xdr:colOff>
          <xdr:row>7</xdr:row>
          <xdr:rowOff>28575</xdr:rowOff>
        </xdr:from>
        <xdr:to>
          <xdr:col>44</xdr:col>
          <xdr:colOff>628650</xdr:colOff>
          <xdr:row>8</xdr:row>
          <xdr:rowOff>28575</xdr:rowOff>
        </xdr:to>
        <xdr:sp macro="" textlink="">
          <xdr:nvSpPr>
            <xdr:cNvPr id="7349" name="cmbSlot15" hidden="1">
              <a:extLst>
                <a:ext uri="{63B3BB69-23CF-44E3-9099-C40C66FF867C}">
                  <a14:compatExt spid="_x0000_s7349"/>
                </a:ext>
                <a:ext uri="{FF2B5EF4-FFF2-40B4-BE49-F238E27FC236}">
                  <a16:creationId xmlns:a16="http://schemas.microsoft.com/office/drawing/2014/main" id="{00000000-0008-0000-0100-0000B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43</xdr:col>
          <xdr:colOff>771525</xdr:colOff>
          <xdr:row>8</xdr:row>
          <xdr:rowOff>28575</xdr:rowOff>
        </xdr:from>
        <xdr:to>
          <xdr:col>44</xdr:col>
          <xdr:colOff>628650</xdr:colOff>
          <xdr:row>9</xdr:row>
          <xdr:rowOff>28575</xdr:rowOff>
        </xdr:to>
        <xdr:sp macro="" textlink="">
          <xdr:nvSpPr>
            <xdr:cNvPr id="7350" name="cmbSlot16" hidden="1">
              <a:extLst>
                <a:ext uri="{63B3BB69-23CF-44E3-9099-C40C66FF867C}">
                  <a14:compatExt spid="_x0000_s7350"/>
                </a:ext>
                <a:ext uri="{FF2B5EF4-FFF2-40B4-BE49-F238E27FC236}">
                  <a16:creationId xmlns:a16="http://schemas.microsoft.com/office/drawing/2014/main" id="{00000000-0008-0000-0100-0000B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45</xdr:col>
          <xdr:colOff>514350</xdr:colOff>
          <xdr:row>1</xdr:row>
          <xdr:rowOff>38100</xdr:rowOff>
        </xdr:from>
        <xdr:to>
          <xdr:col>46</xdr:col>
          <xdr:colOff>371475</xdr:colOff>
          <xdr:row>2</xdr:row>
          <xdr:rowOff>38100</xdr:rowOff>
        </xdr:to>
        <xdr:sp macro="" textlink="">
          <xdr:nvSpPr>
            <xdr:cNvPr id="7351" name="cmbSlot17" hidden="1">
              <a:extLst>
                <a:ext uri="{63B3BB69-23CF-44E3-9099-C40C66FF867C}">
                  <a14:compatExt spid="_x0000_s7351"/>
                </a:ext>
                <a:ext uri="{FF2B5EF4-FFF2-40B4-BE49-F238E27FC236}">
                  <a16:creationId xmlns:a16="http://schemas.microsoft.com/office/drawing/2014/main" id="{00000000-0008-0000-0100-0000B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45</xdr:col>
          <xdr:colOff>514350</xdr:colOff>
          <xdr:row>2</xdr:row>
          <xdr:rowOff>28575</xdr:rowOff>
        </xdr:from>
        <xdr:to>
          <xdr:col>46</xdr:col>
          <xdr:colOff>371475</xdr:colOff>
          <xdr:row>3</xdr:row>
          <xdr:rowOff>28575</xdr:rowOff>
        </xdr:to>
        <xdr:sp macro="" textlink="">
          <xdr:nvSpPr>
            <xdr:cNvPr id="7352" name="cmbSlot18" hidden="1">
              <a:extLst>
                <a:ext uri="{63B3BB69-23CF-44E3-9099-C40C66FF867C}">
                  <a14:compatExt spid="_x0000_s7352"/>
                </a:ext>
                <a:ext uri="{FF2B5EF4-FFF2-40B4-BE49-F238E27FC236}">
                  <a16:creationId xmlns:a16="http://schemas.microsoft.com/office/drawing/2014/main" id="{00000000-0008-0000-0100-0000B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45</xdr:col>
          <xdr:colOff>514350</xdr:colOff>
          <xdr:row>3</xdr:row>
          <xdr:rowOff>19050</xdr:rowOff>
        </xdr:from>
        <xdr:to>
          <xdr:col>46</xdr:col>
          <xdr:colOff>371475</xdr:colOff>
          <xdr:row>4</xdr:row>
          <xdr:rowOff>19050</xdr:rowOff>
        </xdr:to>
        <xdr:sp macro="" textlink="">
          <xdr:nvSpPr>
            <xdr:cNvPr id="7353" name="cmbSlot19" hidden="1">
              <a:extLst>
                <a:ext uri="{63B3BB69-23CF-44E3-9099-C40C66FF867C}">
                  <a14:compatExt spid="_x0000_s7353"/>
                </a:ext>
                <a:ext uri="{FF2B5EF4-FFF2-40B4-BE49-F238E27FC236}">
                  <a16:creationId xmlns:a16="http://schemas.microsoft.com/office/drawing/2014/main" id="{00000000-0008-0000-0100-0000B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45</xdr:col>
          <xdr:colOff>514350</xdr:colOff>
          <xdr:row>4</xdr:row>
          <xdr:rowOff>28575</xdr:rowOff>
        </xdr:from>
        <xdr:to>
          <xdr:col>46</xdr:col>
          <xdr:colOff>371475</xdr:colOff>
          <xdr:row>5</xdr:row>
          <xdr:rowOff>28575</xdr:rowOff>
        </xdr:to>
        <xdr:sp macro="" textlink="">
          <xdr:nvSpPr>
            <xdr:cNvPr id="7354" name="cmbSlot20" hidden="1">
              <a:extLst>
                <a:ext uri="{63B3BB69-23CF-44E3-9099-C40C66FF867C}">
                  <a14:compatExt spid="_x0000_s7354"/>
                </a:ext>
                <a:ext uri="{FF2B5EF4-FFF2-40B4-BE49-F238E27FC236}">
                  <a16:creationId xmlns:a16="http://schemas.microsoft.com/office/drawing/2014/main" id="{00000000-0008-0000-0100-0000B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45</xdr:col>
          <xdr:colOff>514350</xdr:colOff>
          <xdr:row>5</xdr:row>
          <xdr:rowOff>28575</xdr:rowOff>
        </xdr:from>
        <xdr:to>
          <xdr:col>46</xdr:col>
          <xdr:colOff>371475</xdr:colOff>
          <xdr:row>6</xdr:row>
          <xdr:rowOff>28575</xdr:rowOff>
        </xdr:to>
        <xdr:sp macro="" textlink="">
          <xdr:nvSpPr>
            <xdr:cNvPr id="7355" name="cmbSlot21" hidden="1">
              <a:extLst>
                <a:ext uri="{63B3BB69-23CF-44E3-9099-C40C66FF867C}">
                  <a14:compatExt spid="_x0000_s7355"/>
                </a:ext>
                <a:ext uri="{FF2B5EF4-FFF2-40B4-BE49-F238E27FC236}">
                  <a16:creationId xmlns:a16="http://schemas.microsoft.com/office/drawing/2014/main" id="{00000000-0008-0000-0100-0000B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45</xdr:col>
          <xdr:colOff>514350</xdr:colOff>
          <xdr:row>6</xdr:row>
          <xdr:rowOff>28575</xdr:rowOff>
        </xdr:from>
        <xdr:to>
          <xdr:col>46</xdr:col>
          <xdr:colOff>371475</xdr:colOff>
          <xdr:row>7</xdr:row>
          <xdr:rowOff>28575</xdr:rowOff>
        </xdr:to>
        <xdr:sp macro="" textlink="">
          <xdr:nvSpPr>
            <xdr:cNvPr id="7356" name="cmbSlot22" hidden="1">
              <a:extLst>
                <a:ext uri="{63B3BB69-23CF-44E3-9099-C40C66FF867C}">
                  <a14:compatExt spid="_x0000_s7356"/>
                </a:ext>
                <a:ext uri="{FF2B5EF4-FFF2-40B4-BE49-F238E27FC236}">
                  <a16:creationId xmlns:a16="http://schemas.microsoft.com/office/drawing/2014/main" id="{00000000-0008-0000-0100-0000B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45</xdr:col>
          <xdr:colOff>514350</xdr:colOff>
          <xdr:row>7</xdr:row>
          <xdr:rowOff>19050</xdr:rowOff>
        </xdr:from>
        <xdr:to>
          <xdr:col>46</xdr:col>
          <xdr:colOff>371475</xdr:colOff>
          <xdr:row>8</xdr:row>
          <xdr:rowOff>19050</xdr:rowOff>
        </xdr:to>
        <xdr:sp macro="" textlink="">
          <xdr:nvSpPr>
            <xdr:cNvPr id="7357" name="cmbSlot23" hidden="1">
              <a:extLst>
                <a:ext uri="{63B3BB69-23CF-44E3-9099-C40C66FF867C}">
                  <a14:compatExt spid="_x0000_s7357"/>
                </a:ext>
                <a:ext uri="{FF2B5EF4-FFF2-40B4-BE49-F238E27FC236}">
                  <a16:creationId xmlns:a16="http://schemas.microsoft.com/office/drawing/2014/main" id="{00000000-0008-0000-0100-0000B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45</xdr:col>
          <xdr:colOff>514350</xdr:colOff>
          <xdr:row>8</xdr:row>
          <xdr:rowOff>28575</xdr:rowOff>
        </xdr:from>
        <xdr:to>
          <xdr:col>46</xdr:col>
          <xdr:colOff>371475</xdr:colOff>
          <xdr:row>9</xdr:row>
          <xdr:rowOff>28575</xdr:rowOff>
        </xdr:to>
        <xdr:sp macro="" textlink="">
          <xdr:nvSpPr>
            <xdr:cNvPr id="7358" name="cmbSlot24" hidden="1">
              <a:extLst>
                <a:ext uri="{63B3BB69-23CF-44E3-9099-C40C66FF867C}">
                  <a14:compatExt spid="_x0000_s7358"/>
                </a:ext>
                <a:ext uri="{FF2B5EF4-FFF2-40B4-BE49-F238E27FC236}">
                  <a16:creationId xmlns:a16="http://schemas.microsoft.com/office/drawing/2014/main" id="{00000000-0008-0000-0100-0000B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266700</xdr:colOff>
          <xdr:row>1</xdr:row>
          <xdr:rowOff>38100</xdr:rowOff>
        </xdr:from>
        <xdr:to>
          <xdr:col>53</xdr:col>
          <xdr:colOff>123825</xdr:colOff>
          <xdr:row>2</xdr:row>
          <xdr:rowOff>38100</xdr:rowOff>
        </xdr:to>
        <xdr:sp macro="" textlink="">
          <xdr:nvSpPr>
            <xdr:cNvPr id="7359" name="cmbSlot25" hidden="1">
              <a:extLst>
                <a:ext uri="{63B3BB69-23CF-44E3-9099-C40C66FF867C}">
                  <a14:compatExt spid="_x0000_s7359"/>
                </a:ext>
                <a:ext uri="{FF2B5EF4-FFF2-40B4-BE49-F238E27FC236}">
                  <a16:creationId xmlns:a16="http://schemas.microsoft.com/office/drawing/2014/main" id="{00000000-0008-0000-0100-0000B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266700</xdr:colOff>
          <xdr:row>2</xdr:row>
          <xdr:rowOff>38100</xdr:rowOff>
        </xdr:from>
        <xdr:to>
          <xdr:col>53</xdr:col>
          <xdr:colOff>123825</xdr:colOff>
          <xdr:row>3</xdr:row>
          <xdr:rowOff>38100</xdr:rowOff>
        </xdr:to>
        <xdr:sp macro="" textlink="">
          <xdr:nvSpPr>
            <xdr:cNvPr id="7360" name="cmbSlot26" hidden="1">
              <a:extLst>
                <a:ext uri="{63B3BB69-23CF-44E3-9099-C40C66FF867C}">
                  <a14:compatExt spid="_x0000_s7360"/>
                </a:ext>
                <a:ext uri="{FF2B5EF4-FFF2-40B4-BE49-F238E27FC236}">
                  <a16:creationId xmlns:a16="http://schemas.microsoft.com/office/drawing/2014/main" id="{00000000-0008-0000-0100-0000C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266700</xdr:colOff>
          <xdr:row>3</xdr:row>
          <xdr:rowOff>38100</xdr:rowOff>
        </xdr:from>
        <xdr:to>
          <xdr:col>53</xdr:col>
          <xdr:colOff>123825</xdr:colOff>
          <xdr:row>4</xdr:row>
          <xdr:rowOff>38100</xdr:rowOff>
        </xdr:to>
        <xdr:sp macro="" textlink="">
          <xdr:nvSpPr>
            <xdr:cNvPr id="7361" name="cmbSlot27" hidden="1">
              <a:extLst>
                <a:ext uri="{63B3BB69-23CF-44E3-9099-C40C66FF867C}">
                  <a14:compatExt spid="_x0000_s7361"/>
                </a:ext>
                <a:ext uri="{FF2B5EF4-FFF2-40B4-BE49-F238E27FC236}">
                  <a16:creationId xmlns:a16="http://schemas.microsoft.com/office/drawing/2014/main" id="{00000000-0008-0000-0100-0000C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266700</xdr:colOff>
          <xdr:row>4</xdr:row>
          <xdr:rowOff>38100</xdr:rowOff>
        </xdr:from>
        <xdr:to>
          <xdr:col>53</xdr:col>
          <xdr:colOff>123825</xdr:colOff>
          <xdr:row>5</xdr:row>
          <xdr:rowOff>38100</xdr:rowOff>
        </xdr:to>
        <xdr:sp macro="" textlink="">
          <xdr:nvSpPr>
            <xdr:cNvPr id="7362" name="cmbSlot28" hidden="1">
              <a:extLst>
                <a:ext uri="{63B3BB69-23CF-44E3-9099-C40C66FF867C}">
                  <a14:compatExt spid="_x0000_s7362"/>
                </a:ext>
                <a:ext uri="{FF2B5EF4-FFF2-40B4-BE49-F238E27FC236}">
                  <a16:creationId xmlns:a16="http://schemas.microsoft.com/office/drawing/2014/main" id="{00000000-0008-0000-0100-0000C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266700</xdr:colOff>
          <xdr:row>5</xdr:row>
          <xdr:rowOff>28575</xdr:rowOff>
        </xdr:from>
        <xdr:to>
          <xdr:col>53</xdr:col>
          <xdr:colOff>123825</xdr:colOff>
          <xdr:row>6</xdr:row>
          <xdr:rowOff>28575</xdr:rowOff>
        </xdr:to>
        <xdr:sp macro="" textlink="">
          <xdr:nvSpPr>
            <xdr:cNvPr id="7363" name="cmbSlot29" hidden="1">
              <a:extLst>
                <a:ext uri="{63B3BB69-23CF-44E3-9099-C40C66FF867C}">
                  <a14:compatExt spid="_x0000_s7363"/>
                </a:ext>
                <a:ext uri="{FF2B5EF4-FFF2-40B4-BE49-F238E27FC236}">
                  <a16:creationId xmlns:a16="http://schemas.microsoft.com/office/drawing/2014/main" id="{00000000-0008-0000-0100-0000C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266700</xdr:colOff>
          <xdr:row>6</xdr:row>
          <xdr:rowOff>38100</xdr:rowOff>
        </xdr:from>
        <xdr:to>
          <xdr:col>53</xdr:col>
          <xdr:colOff>123825</xdr:colOff>
          <xdr:row>7</xdr:row>
          <xdr:rowOff>38100</xdr:rowOff>
        </xdr:to>
        <xdr:sp macro="" textlink="">
          <xdr:nvSpPr>
            <xdr:cNvPr id="7364" name="cmbSlot30" hidden="1">
              <a:extLst>
                <a:ext uri="{63B3BB69-23CF-44E3-9099-C40C66FF867C}">
                  <a14:compatExt spid="_x0000_s7364"/>
                </a:ext>
                <a:ext uri="{FF2B5EF4-FFF2-40B4-BE49-F238E27FC236}">
                  <a16:creationId xmlns:a16="http://schemas.microsoft.com/office/drawing/2014/main" id="{00000000-0008-0000-0100-0000C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266700</xdr:colOff>
          <xdr:row>7</xdr:row>
          <xdr:rowOff>38100</xdr:rowOff>
        </xdr:from>
        <xdr:to>
          <xdr:col>53</xdr:col>
          <xdr:colOff>123825</xdr:colOff>
          <xdr:row>8</xdr:row>
          <xdr:rowOff>38100</xdr:rowOff>
        </xdr:to>
        <xdr:sp macro="" textlink="">
          <xdr:nvSpPr>
            <xdr:cNvPr id="7365" name="cmbSlot31" hidden="1">
              <a:extLst>
                <a:ext uri="{63B3BB69-23CF-44E3-9099-C40C66FF867C}">
                  <a14:compatExt spid="_x0000_s7365"/>
                </a:ext>
                <a:ext uri="{FF2B5EF4-FFF2-40B4-BE49-F238E27FC236}">
                  <a16:creationId xmlns:a16="http://schemas.microsoft.com/office/drawing/2014/main" id="{00000000-0008-0000-0100-0000C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266700</xdr:colOff>
          <xdr:row>8</xdr:row>
          <xdr:rowOff>28575</xdr:rowOff>
        </xdr:from>
        <xdr:to>
          <xdr:col>53</xdr:col>
          <xdr:colOff>123825</xdr:colOff>
          <xdr:row>9</xdr:row>
          <xdr:rowOff>28575</xdr:rowOff>
        </xdr:to>
        <xdr:sp macro="" textlink="">
          <xdr:nvSpPr>
            <xdr:cNvPr id="7366" name="cmbSlot32" hidden="1">
              <a:extLst>
                <a:ext uri="{63B3BB69-23CF-44E3-9099-C40C66FF867C}">
                  <a14:compatExt spid="_x0000_s7366"/>
                </a:ext>
                <a:ext uri="{FF2B5EF4-FFF2-40B4-BE49-F238E27FC236}">
                  <a16:creationId xmlns:a16="http://schemas.microsoft.com/office/drawing/2014/main" id="{00000000-0008-0000-0100-0000C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638175</xdr:colOff>
          <xdr:row>4</xdr:row>
          <xdr:rowOff>47625</xdr:rowOff>
        </xdr:from>
        <xdr:to>
          <xdr:col>31</xdr:col>
          <xdr:colOff>1381125</xdr:colOff>
          <xdr:row>5</xdr:row>
          <xdr:rowOff>180975</xdr:rowOff>
        </xdr:to>
        <xdr:sp macro="" textlink="">
          <xdr:nvSpPr>
            <xdr:cNvPr id="7390" name="cmdAddNewSample" hidden="1">
              <a:extLst>
                <a:ext uri="{63B3BB69-23CF-44E3-9099-C40C66FF867C}">
                  <a14:compatExt spid="_x0000_s7390"/>
                </a:ext>
                <a:ext uri="{FF2B5EF4-FFF2-40B4-BE49-F238E27FC236}">
                  <a16:creationId xmlns:a16="http://schemas.microsoft.com/office/drawing/2014/main" id="{00000000-0008-0000-0100-0000D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1057275</xdr:colOff>
          <xdr:row>4</xdr:row>
          <xdr:rowOff>28575</xdr:rowOff>
        </xdr:from>
        <xdr:to>
          <xdr:col>42</xdr:col>
          <xdr:colOff>914400</xdr:colOff>
          <xdr:row>5</xdr:row>
          <xdr:rowOff>28575</xdr:rowOff>
        </xdr:to>
        <xdr:sp macro="" textlink="">
          <xdr:nvSpPr>
            <xdr:cNvPr id="7338" name="cmbSlot4" hidden="1">
              <a:extLst>
                <a:ext uri="{63B3BB69-23CF-44E3-9099-C40C66FF867C}">
                  <a14:compatExt spid="_x0000_s7338"/>
                </a:ext>
                <a:ext uri="{FF2B5EF4-FFF2-40B4-BE49-F238E27FC236}">
                  <a16:creationId xmlns:a16="http://schemas.microsoft.com/office/drawing/2014/main" id="{00000000-0008-0000-0100-0000A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1057275</xdr:colOff>
          <xdr:row>3</xdr:row>
          <xdr:rowOff>28575</xdr:rowOff>
        </xdr:from>
        <xdr:to>
          <xdr:col>42</xdr:col>
          <xdr:colOff>914400</xdr:colOff>
          <xdr:row>4</xdr:row>
          <xdr:rowOff>28575</xdr:rowOff>
        </xdr:to>
        <xdr:sp macro="" textlink="">
          <xdr:nvSpPr>
            <xdr:cNvPr id="7337" name="cmbSlot3" hidden="1">
              <a:extLst>
                <a:ext uri="{63B3BB69-23CF-44E3-9099-C40C66FF867C}">
                  <a14:compatExt spid="_x0000_s7337"/>
                </a:ext>
                <a:ext uri="{FF2B5EF4-FFF2-40B4-BE49-F238E27FC236}">
                  <a16:creationId xmlns:a16="http://schemas.microsoft.com/office/drawing/2014/main" id="{00000000-0008-0000-0100-0000A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609600</xdr:colOff>
          <xdr:row>1</xdr:row>
          <xdr:rowOff>66675</xdr:rowOff>
        </xdr:from>
        <xdr:to>
          <xdr:col>4</xdr:col>
          <xdr:colOff>28575</xdr:colOff>
          <xdr:row>2</xdr:row>
          <xdr:rowOff>123825</xdr:rowOff>
        </xdr:to>
        <xdr:sp macro="" textlink="">
          <xdr:nvSpPr>
            <xdr:cNvPr id="19326" name="cmdReProtect" hidden="1">
              <a:extLst>
                <a:ext uri="{63B3BB69-23CF-44E3-9099-C40C66FF867C}">
                  <a14:compatExt spid="_x0000_s19326"/>
                </a:ext>
                <a:ext uri="{FF2B5EF4-FFF2-40B4-BE49-F238E27FC236}">
                  <a16:creationId xmlns:a16="http://schemas.microsoft.com/office/drawing/2014/main" id="{00000000-0008-0000-0100-00007E4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53</xdr:col>
          <xdr:colOff>161925</xdr:colOff>
          <xdr:row>1</xdr:row>
          <xdr:rowOff>38100</xdr:rowOff>
        </xdr:from>
        <xdr:to>
          <xdr:col>54</xdr:col>
          <xdr:colOff>571500</xdr:colOff>
          <xdr:row>2</xdr:row>
          <xdr:rowOff>9525</xdr:rowOff>
        </xdr:to>
        <xdr:sp macro="" textlink="">
          <xdr:nvSpPr>
            <xdr:cNvPr id="23623" name="TextBox57" hidden="1">
              <a:extLst>
                <a:ext uri="{63B3BB69-23CF-44E3-9099-C40C66FF867C}">
                  <a14:compatExt spid="_x0000_s23623"/>
                </a:ext>
                <a:ext uri="{FF2B5EF4-FFF2-40B4-BE49-F238E27FC236}">
                  <a16:creationId xmlns:a16="http://schemas.microsoft.com/office/drawing/2014/main" id="{00000000-0008-0000-0100-000047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161925</xdr:colOff>
          <xdr:row>2</xdr:row>
          <xdr:rowOff>38100</xdr:rowOff>
        </xdr:from>
        <xdr:to>
          <xdr:col>54</xdr:col>
          <xdr:colOff>571500</xdr:colOff>
          <xdr:row>3</xdr:row>
          <xdr:rowOff>9525</xdr:rowOff>
        </xdr:to>
        <xdr:sp macro="" textlink="">
          <xdr:nvSpPr>
            <xdr:cNvPr id="23624" name="TextBox58" hidden="1">
              <a:extLst>
                <a:ext uri="{63B3BB69-23CF-44E3-9099-C40C66FF867C}">
                  <a14:compatExt spid="_x0000_s23624"/>
                </a:ext>
                <a:ext uri="{FF2B5EF4-FFF2-40B4-BE49-F238E27FC236}">
                  <a16:creationId xmlns:a16="http://schemas.microsoft.com/office/drawing/2014/main" id="{00000000-0008-0000-0100-000048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161925</xdr:colOff>
          <xdr:row>3</xdr:row>
          <xdr:rowOff>38100</xdr:rowOff>
        </xdr:from>
        <xdr:to>
          <xdr:col>54</xdr:col>
          <xdr:colOff>571500</xdr:colOff>
          <xdr:row>4</xdr:row>
          <xdr:rowOff>9525</xdr:rowOff>
        </xdr:to>
        <xdr:sp macro="" textlink="">
          <xdr:nvSpPr>
            <xdr:cNvPr id="23625" name="TextBox59" hidden="1">
              <a:extLst>
                <a:ext uri="{63B3BB69-23CF-44E3-9099-C40C66FF867C}">
                  <a14:compatExt spid="_x0000_s23625"/>
                </a:ext>
                <a:ext uri="{FF2B5EF4-FFF2-40B4-BE49-F238E27FC236}">
                  <a16:creationId xmlns:a16="http://schemas.microsoft.com/office/drawing/2014/main" id="{00000000-0008-0000-0100-00004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161925</xdr:colOff>
          <xdr:row>4</xdr:row>
          <xdr:rowOff>38100</xdr:rowOff>
        </xdr:from>
        <xdr:to>
          <xdr:col>54</xdr:col>
          <xdr:colOff>571500</xdr:colOff>
          <xdr:row>5</xdr:row>
          <xdr:rowOff>9525</xdr:rowOff>
        </xdr:to>
        <xdr:sp macro="" textlink="">
          <xdr:nvSpPr>
            <xdr:cNvPr id="23626" name="TextBox60" hidden="1">
              <a:extLst>
                <a:ext uri="{63B3BB69-23CF-44E3-9099-C40C66FF867C}">
                  <a14:compatExt spid="_x0000_s23626"/>
                </a:ext>
                <a:ext uri="{FF2B5EF4-FFF2-40B4-BE49-F238E27FC236}">
                  <a16:creationId xmlns:a16="http://schemas.microsoft.com/office/drawing/2014/main" id="{00000000-0008-0000-0100-00004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161925</xdr:colOff>
          <xdr:row>5</xdr:row>
          <xdr:rowOff>38100</xdr:rowOff>
        </xdr:from>
        <xdr:to>
          <xdr:col>54</xdr:col>
          <xdr:colOff>571500</xdr:colOff>
          <xdr:row>6</xdr:row>
          <xdr:rowOff>9525</xdr:rowOff>
        </xdr:to>
        <xdr:sp macro="" textlink="">
          <xdr:nvSpPr>
            <xdr:cNvPr id="23627" name="TextBox61" hidden="1">
              <a:extLst>
                <a:ext uri="{63B3BB69-23CF-44E3-9099-C40C66FF867C}">
                  <a14:compatExt spid="_x0000_s23627"/>
                </a:ext>
                <a:ext uri="{FF2B5EF4-FFF2-40B4-BE49-F238E27FC236}">
                  <a16:creationId xmlns:a16="http://schemas.microsoft.com/office/drawing/2014/main" id="{00000000-0008-0000-0100-00004B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161925</xdr:colOff>
          <xdr:row>6</xdr:row>
          <xdr:rowOff>38100</xdr:rowOff>
        </xdr:from>
        <xdr:to>
          <xdr:col>54</xdr:col>
          <xdr:colOff>571500</xdr:colOff>
          <xdr:row>7</xdr:row>
          <xdr:rowOff>9525</xdr:rowOff>
        </xdr:to>
        <xdr:sp macro="" textlink="">
          <xdr:nvSpPr>
            <xdr:cNvPr id="23628" name="TextBox62" hidden="1">
              <a:extLst>
                <a:ext uri="{63B3BB69-23CF-44E3-9099-C40C66FF867C}">
                  <a14:compatExt spid="_x0000_s23628"/>
                </a:ext>
                <a:ext uri="{FF2B5EF4-FFF2-40B4-BE49-F238E27FC236}">
                  <a16:creationId xmlns:a16="http://schemas.microsoft.com/office/drawing/2014/main" id="{00000000-0008-0000-0100-00004C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161925</xdr:colOff>
          <xdr:row>7</xdr:row>
          <xdr:rowOff>38100</xdr:rowOff>
        </xdr:from>
        <xdr:to>
          <xdr:col>54</xdr:col>
          <xdr:colOff>571500</xdr:colOff>
          <xdr:row>8</xdr:row>
          <xdr:rowOff>9525</xdr:rowOff>
        </xdr:to>
        <xdr:sp macro="" textlink="">
          <xdr:nvSpPr>
            <xdr:cNvPr id="23629" name="TextBox63" hidden="1">
              <a:extLst>
                <a:ext uri="{63B3BB69-23CF-44E3-9099-C40C66FF867C}">
                  <a14:compatExt spid="_x0000_s23629"/>
                </a:ext>
                <a:ext uri="{FF2B5EF4-FFF2-40B4-BE49-F238E27FC236}">
                  <a16:creationId xmlns:a16="http://schemas.microsoft.com/office/drawing/2014/main" id="{00000000-0008-0000-0100-00004D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161925</xdr:colOff>
          <xdr:row>8</xdr:row>
          <xdr:rowOff>38100</xdr:rowOff>
        </xdr:from>
        <xdr:to>
          <xdr:col>54</xdr:col>
          <xdr:colOff>571500</xdr:colOff>
          <xdr:row>9</xdr:row>
          <xdr:rowOff>9525</xdr:rowOff>
        </xdr:to>
        <xdr:sp macro="" textlink="">
          <xdr:nvSpPr>
            <xdr:cNvPr id="23630" name="TextBox64" hidden="1">
              <a:extLst>
                <a:ext uri="{63B3BB69-23CF-44E3-9099-C40C66FF867C}">
                  <a14:compatExt spid="_x0000_s23630"/>
                </a:ext>
                <a:ext uri="{FF2B5EF4-FFF2-40B4-BE49-F238E27FC236}">
                  <a16:creationId xmlns:a16="http://schemas.microsoft.com/office/drawing/2014/main" id="{00000000-0008-0000-0100-00004E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54</xdr:col>
          <xdr:colOff>600075</xdr:colOff>
          <xdr:row>1</xdr:row>
          <xdr:rowOff>28575</xdr:rowOff>
        </xdr:from>
        <xdr:to>
          <xdr:col>56</xdr:col>
          <xdr:colOff>419100</xdr:colOff>
          <xdr:row>2</xdr:row>
          <xdr:rowOff>28575</xdr:rowOff>
        </xdr:to>
        <xdr:sp macro="" textlink="">
          <xdr:nvSpPr>
            <xdr:cNvPr id="23631" name="cmbSlot33" hidden="1">
              <a:extLst>
                <a:ext uri="{63B3BB69-23CF-44E3-9099-C40C66FF867C}">
                  <a14:compatExt spid="_x0000_s23631"/>
                </a:ext>
                <a:ext uri="{FF2B5EF4-FFF2-40B4-BE49-F238E27FC236}">
                  <a16:creationId xmlns:a16="http://schemas.microsoft.com/office/drawing/2014/main" id="{00000000-0008-0000-0100-00004F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54</xdr:col>
          <xdr:colOff>600075</xdr:colOff>
          <xdr:row>2</xdr:row>
          <xdr:rowOff>28575</xdr:rowOff>
        </xdr:from>
        <xdr:to>
          <xdr:col>56</xdr:col>
          <xdr:colOff>419100</xdr:colOff>
          <xdr:row>3</xdr:row>
          <xdr:rowOff>28575</xdr:rowOff>
        </xdr:to>
        <xdr:sp macro="" textlink="">
          <xdr:nvSpPr>
            <xdr:cNvPr id="23632" name="cmbSlot34" hidden="1">
              <a:extLst>
                <a:ext uri="{63B3BB69-23CF-44E3-9099-C40C66FF867C}">
                  <a14:compatExt spid="_x0000_s23632"/>
                </a:ext>
                <a:ext uri="{FF2B5EF4-FFF2-40B4-BE49-F238E27FC236}">
                  <a16:creationId xmlns:a16="http://schemas.microsoft.com/office/drawing/2014/main" id="{00000000-0008-0000-0100-000050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54</xdr:col>
          <xdr:colOff>600075</xdr:colOff>
          <xdr:row>3</xdr:row>
          <xdr:rowOff>28575</xdr:rowOff>
        </xdr:from>
        <xdr:to>
          <xdr:col>56</xdr:col>
          <xdr:colOff>419100</xdr:colOff>
          <xdr:row>4</xdr:row>
          <xdr:rowOff>28575</xdr:rowOff>
        </xdr:to>
        <xdr:sp macro="" textlink="">
          <xdr:nvSpPr>
            <xdr:cNvPr id="23633" name="cmbSlot35" hidden="1">
              <a:extLst>
                <a:ext uri="{63B3BB69-23CF-44E3-9099-C40C66FF867C}">
                  <a14:compatExt spid="_x0000_s23633"/>
                </a:ext>
                <a:ext uri="{FF2B5EF4-FFF2-40B4-BE49-F238E27FC236}">
                  <a16:creationId xmlns:a16="http://schemas.microsoft.com/office/drawing/2014/main" id="{00000000-0008-0000-0100-00005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54</xdr:col>
          <xdr:colOff>600075</xdr:colOff>
          <xdr:row>4</xdr:row>
          <xdr:rowOff>28575</xdr:rowOff>
        </xdr:from>
        <xdr:to>
          <xdr:col>56</xdr:col>
          <xdr:colOff>419100</xdr:colOff>
          <xdr:row>5</xdr:row>
          <xdr:rowOff>28575</xdr:rowOff>
        </xdr:to>
        <xdr:sp macro="" textlink="">
          <xdr:nvSpPr>
            <xdr:cNvPr id="23634" name="cmbSlot36" hidden="1">
              <a:extLst>
                <a:ext uri="{63B3BB69-23CF-44E3-9099-C40C66FF867C}">
                  <a14:compatExt spid="_x0000_s23634"/>
                </a:ext>
                <a:ext uri="{FF2B5EF4-FFF2-40B4-BE49-F238E27FC236}">
                  <a16:creationId xmlns:a16="http://schemas.microsoft.com/office/drawing/2014/main" id="{00000000-0008-0000-0100-00005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54</xdr:col>
          <xdr:colOff>600075</xdr:colOff>
          <xdr:row>5</xdr:row>
          <xdr:rowOff>19050</xdr:rowOff>
        </xdr:from>
        <xdr:to>
          <xdr:col>56</xdr:col>
          <xdr:colOff>419100</xdr:colOff>
          <xdr:row>6</xdr:row>
          <xdr:rowOff>19050</xdr:rowOff>
        </xdr:to>
        <xdr:sp macro="" textlink="">
          <xdr:nvSpPr>
            <xdr:cNvPr id="23635" name="cmbSlot37" hidden="1">
              <a:extLst>
                <a:ext uri="{63B3BB69-23CF-44E3-9099-C40C66FF867C}">
                  <a14:compatExt spid="_x0000_s23635"/>
                </a:ext>
                <a:ext uri="{FF2B5EF4-FFF2-40B4-BE49-F238E27FC236}">
                  <a16:creationId xmlns:a16="http://schemas.microsoft.com/office/drawing/2014/main" id="{00000000-0008-0000-0100-00005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54</xdr:col>
          <xdr:colOff>600075</xdr:colOff>
          <xdr:row>6</xdr:row>
          <xdr:rowOff>28575</xdr:rowOff>
        </xdr:from>
        <xdr:to>
          <xdr:col>56</xdr:col>
          <xdr:colOff>419100</xdr:colOff>
          <xdr:row>7</xdr:row>
          <xdr:rowOff>28575</xdr:rowOff>
        </xdr:to>
        <xdr:sp macro="" textlink="">
          <xdr:nvSpPr>
            <xdr:cNvPr id="23636" name="cmbSlot38" hidden="1">
              <a:extLst>
                <a:ext uri="{63B3BB69-23CF-44E3-9099-C40C66FF867C}">
                  <a14:compatExt spid="_x0000_s23636"/>
                </a:ext>
                <a:ext uri="{FF2B5EF4-FFF2-40B4-BE49-F238E27FC236}">
                  <a16:creationId xmlns:a16="http://schemas.microsoft.com/office/drawing/2014/main" id="{00000000-0008-0000-0100-00005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54</xdr:col>
          <xdr:colOff>600075</xdr:colOff>
          <xdr:row>7</xdr:row>
          <xdr:rowOff>28575</xdr:rowOff>
        </xdr:from>
        <xdr:to>
          <xdr:col>56</xdr:col>
          <xdr:colOff>419100</xdr:colOff>
          <xdr:row>8</xdr:row>
          <xdr:rowOff>28575</xdr:rowOff>
        </xdr:to>
        <xdr:sp macro="" textlink="">
          <xdr:nvSpPr>
            <xdr:cNvPr id="23637" name="cmbSlot39" hidden="1">
              <a:extLst>
                <a:ext uri="{63B3BB69-23CF-44E3-9099-C40C66FF867C}">
                  <a14:compatExt spid="_x0000_s23637"/>
                </a:ext>
                <a:ext uri="{FF2B5EF4-FFF2-40B4-BE49-F238E27FC236}">
                  <a16:creationId xmlns:a16="http://schemas.microsoft.com/office/drawing/2014/main" id="{00000000-0008-0000-0100-00005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54</xdr:col>
          <xdr:colOff>600075</xdr:colOff>
          <xdr:row>8</xdr:row>
          <xdr:rowOff>19050</xdr:rowOff>
        </xdr:from>
        <xdr:to>
          <xdr:col>56</xdr:col>
          <xdr:colOff>419100</xdr:colOff>
          <xdr:row>9</xdr:row>
          <xdr:rowOff>19050</xdr:rowOff>
        </xdr:to>
        <xdr:sp macro="" textlink="">
          <xdr:nvSpPr>
            <xdr:cNvPr id="23638" name="cmbSlot40" hidden="1">
              <a:extLst>
                <a:ext uri="{63B3BB69-23CF-44E3-9099-C40C66FF867C}">
                  <a14:compatExt spid="_x0000_s23638"/>
                </a:ext>
                <a:ext uri="{FF2B5EF4-FFF2-40B4-BE49-F238E27FC236}">
                  <a16:creationId xmlns:a16="http://schemas.microsoft.com/office/drawing/2014/main" id="{00000000-0008-0000-0100-00005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4</xdr:row>
          <xdr:rowOff>38100</xdr:rowOff>
        </xdr:from>
        <xdr:to>
          <xdr:col>32</xdr:col>
          <xdr:colOff>857250</xdr:colOff>
          <xdr:row>5</xdr:row>
          <xdr:rowOff>171450</xdr:rowOff>
        </xdr:to>
        <xdr:sp macro="" textlink="">
          <xdr:nvSpPr>
            <xdr:cNvPr id="23986" name="cmdProof" hidden="1">
              <a:extLst>
                <a:ext uri="{63B3BB69-23CF-44E3-9099-C40C66FF867C}">
                  <a14:compatExt spid="_x0000_s23986"/>
                </a:ext>
                <a:ext uri="{FF2B5EF4-FFF2-40B4-BE49-F238E27FC236}">
                  <a16:creationId xmlns:a16="http://schemas.microsoft.com/office/drawing/2014/main" id="{00000000-0008-0000-0100-0000B25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409575</xdr:colOff>
          <xdr:row>0</xdr:row>
          <xdr:rowOff>247650</xdr:rowOff>
        </xdr:from>
        <xdr:to>
          <xdr:col>10</xdr:col>
          <xdr:colOff>428625</xdr:colOff>
          <xdr:row>0</xdr:row>
          <xdr:rowOff>514350</xdr:rowOff>
        </xdr:to>
        <xdr:sp macro="" textlink="">
          <xdr:nvSpPr>
            <xdr:cNvPr id="22530" name="cmdPrint"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247650</xdr:rowOff>
        </xdr:from>
        <xdr:to>
          <xdr:col>11</xdr:col>
          <xdr:colOff>142875</xdr:colOff>
          <xdr:row>0</xdr:row>
          <xdr:rowOff>514350</xdr:rowOff>
        </xdr:to>
        <xdr:sp macro="" textlink="">
          <xdr:nvSpPr>
            <xdr:cNvPr id="22531" name="cmdMain" hidden="1">
              <a:extLst>
                <a:ext uri="{63B3BB69-23CF-44E3-9099-C40C66FF867C}">
                  <a14:compatExt spid="_x0000_s22531"/>
                </a:ext>
                <a:ext uri="{FF2B5EF4-FFF2-40B4-BE49-F238E27FC236}">
                  <a16:creationId xmlns:a16="http://schemas.microsoft.com/office/drawing/2014/main" id="{00000000-0008-0000-04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323850</xdr:colOff>
          <xdr:row>0</xdr:row>
          <xdr:rowOff>323850</xdr:rowOff>
        </xdr:from>
        <xdr:to>
          <xdr:col>11</xdr:col>
          <xdr:colOff>171450</xdr:colOff>
          <xdr:row>0</xdr:row>
          <xdr:rowOff>590550</xdr:rowOff>
        </xdr:to>
        <xdr:sp macro="" textlink="">
          <xdr:nvSpPr>
            <xdr:cNvPr id="16392" name="cmdPrint" hidden="1">
              <a:extLst>
                <a:ext uri="{63B3BB69-23CF-44E3-9099-C40C66FF867C}">
                  <a14:compatExt spid="_x0000_s16392"/>
                </a:ext>
                <a:ext uri="{FF2B5EF4-FFF2-40B4-BE49-F238E27FC236}">
                  <a16:creationId xmlns:a16="http://schemas.microsoft.com/office/drawing/2014/main" id="{00000000-0008-0000-0500-00000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247650</xdr:colOff>
          <xdr:row>0</xdr:row>
          <xdr:rowOff>323850</xdr:rowOff>
        </xdr:from>
        <xdr:to>
          <xdr:col>11</xdr:col>
          <xdr:colOff>971550</xdr:colOff>
          <xdr:row>0</xdr:row>
          <xdr:rowOff>590550</xdr:rowOff>
        </xdr:to>
        <xdr:sp macro="" textlink="">
          <xdr:nvSpPr>
            <xdr:cNvPr id="16393" name="cmdMain" hidden="1">
              <a:extLst>
                <a:ext uri="{63B3BB69-23CF-44E3-9099-C40C66FF867C}">
                  <a14:compatExt spid="_x0000_s16393"/>
                </a:ext>
                <a:ext uri="{FF2B5EF4-FFF2-40B4-BE49-F238E27FC236}">
                  <a16:creationId xmlns:a16="http://schemas.microsoft.com/office/drawing/2014/main" id="{00000000-0008-0000-05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257175</xdr:colOff>
          <xdr:row>7</xdr:row>
          <xdr:rowOff>66675</xdr:rowOff>
        </xdr:from>
        <xdr:to>
          <xdr:col>11</xdr:col>
          <xdr:colOff>219075</xdr:colOff>
          <xdr:row>9</xdr:row>
          <xdr:rowOff>47625</xdr:rowOff>
        </xdr:to>
        <xdr:sp macro="" textlink="">
          <xdr:nvSpPr>
            <xdr:cNvPr id="14343" name="cmdPrint" hidden="1">
              <a:extLst>
                <a:ext uri="{63B3BB69-23CF-44E3-9099-C40C66FF867C}">
                  <a14:compatExt spid="_x0000_s14343"/>
                </a:ext>
                <a:ext uri="{FF2B5EF4-FFF2-40B4-BE49-F238E27FC236}">
                  <a16:creationId xmlns:a16="http://schemas.microsoft.com/office/drawing/2014/main" id="{00000000-0008-0000-06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295275</xdr:colOff>
          <xdr:row>7</xdr:row>
          <xdr:rowOff>66675</xdr:rowOff>
        </xdr:from>
        <xdr:to>
          <xdr:col>12</xdr:col>
          <xdr:colOff>419100</xdr:colOff>
          <xdr:row>9</xdr:row>
          <xdr:rowOff>47625</xdr:rowOff>
        </xdr:to>
        <xdr:sp macro="" textlink="">
          <xdr:nvSpPr>
            <xdr:cNvPr id="14344" name="cmdMain" hidden="1">
              <a:extLst>
                <a:ext uri="{63B3BB69-23CF-44E3-9099-C40C66FF867C}">
                  <a14:compatExt spid="_x0000_s14344"/>
                </a:ext>
                <a:ext uri="{FF2B5EF4-FFF2-40B4-BE49-F238E27FC236}">
                  <a16:creationId xmlns:a16="http://schemas.microsoft.com/office/drawing/2014/main" id="{00000000-0008-0000-0600-00000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16</xdr:col>
      <xdr:colOff>104775</xdr:colOff>
      <xdr:row>1</xdr:row>
      <xdr:rowOff>161925</xdr:rowOff>
    </xdr:from>
    <xdr:to>
      <xdr:col>17</xdr:col>
      <xdr:colOff>133350</xdr:colOff>
      <xdr:row>16</xdr:row>
      <xdr:rowOff>0</xdr:rowOff>
    </xdr:to>
    <xdr:graphicFrame macro="">
      <xdr:nvGraphicFramePr>
        <xdr:cNvPr id="14402616" name="DO">
          <a:extLst>
            <a:ext uri="{FF2B5EF4-FFF2-40B4-BE49-F238E27FC236}">
              <a16:creationId xmlns:a16="http://schemas.microsoft.com/office/drawing/2014/main" id="{00000000-0008-0000-0700-000038C4D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400050</xdr:colOff>
      <xdr:row>1</xdr:row>
      <xdr:rowOff>161925</xdr:rowOff>
    </xdr:from>
    <xdr:to>
      <xdr:col>16</xdr:col>
      <xdr:colOff>123825</xdr:colOff>
      <xdr:row>16</xdr:row>
      <xdr:rowOff>0</xdr:rowOff>
    </xdr:to>
    <xdr:graphicFrame macro="">
      <xdr:nvGraphicFramePr>
        <xdr:cNvPr id="14402617" name="COND">
          <a:extLst>
            <a:ext uri="{FF2B5EF4-FFF2-40B4-BE49-F238E27FC236}">
              <a16:creationId xmlns:a16="http://schemas.microsoft.com/office/drawing/2014/main" id="{00000000-0008-0000-0700-000039C4D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314325</xdr:colOff>
      <xdr:row>1</xdr:row>
      <xdr:rowOff>161925</xdr:rowOff>
    </xdr:from>
    <xdr:to>
      <xdr:col>14</xdr:col>
      <xdr:colOff>419100</xdr:colOff>
      <xdr:row>16</xdr:row>
      <xdr:rowOff>0</xdr:rowOff>
    </xdr:to>
    <xdr:graphicFrame macro="">
      <xdr:nvGraphicFramePr>
        <xdr:cNvPr id="14402618" name="PH">
          <a:extLst>
            <a:ext uri="{FF2B5EF4-FFF2-40B4-BE49-F238E27FC236}">
              <a16:creationId xmlns:a16="http://schemas.microsoft.com/office/drawing/2014/main" id="{00000000-0008-0000-0700-00003AC4D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161925</xdr:colOff>
      <xdr:row>1</xdr:row>
      <xdr:rowOff>161925</xdr:rowOff>
    </xdr:from>
    <xdr:to>
      <xdr:col>13</xdr:col>
      <xdr:colOff>323850</xdr:colOff>
      <xdr:row>16</xdr:row>
      <xdr:rowOff>0</xdr:rowOff>
    </xdr:to>
    <xdr:graphicFrame macro="">
      <xdr:nvGraphicFramePr>
        <xdr:cNvPr id="14402619" name="Temp">
          <a:extLst>
            <a:ext uri="{FF2B5EF4-FFF2-40B4-BE49-F238E27FC236}">
              <a16:creationId xmlns:a16="http://schemas.microsoft.com/office/drawing/2014/main" id="{00000000-0008-0000-0700-00003BC4D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685800</xdr:colOff>
          <xdr:row>13</xdr:row>
          <xdr:rowOff>76200</xdr:rowOff>
        </xdr:from>
        <xdr:to>
          <xdr:col>9</xdr:col>
          <xdr:colOff>485775</xdr:colOff>
          <xdr:row>16</xdr:row>
          <xdr:rowOff>9525</xdr:rowOff>
        </xdr:to>
        <xdr:sp macro="" textlink="">
          <xdr:nvSpPr>
            <xdr:cNvPr id="21505" name="cmdSend"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13</xdr:row>
          <xdr:rowOff>76200</xdr:rowOff>
        </xdr:from>
        <xdr:to>
          <xdr:col>12</xdr:col>
          <xdr:colOff>0</xdr:colOff>
          <xdr:row>16</xdr:row>
          <xdr:rowOff>9525</xdr:rowOff>
        </xdr:to>
        <xdr:sp macro="" textlink="">
          <xdr:nvSpPr>
            <xdr:cNvPr id="21512" name="cmdCancel" hidden="1">
              <a:extLst>
                <a:ext uri="{63B3BB69-23CF-44E3-9099-C40C66FF867C}">
                  <a14:compatExt spid="_x0000_s21512"/>
                </a:ext>
                <a:ext uri="{FF2B5EF4-FFF2-40B4-BE49-F238E27FC236}">
                  <a16:creationId xmlns:a16="http://schemas.microsoft.com/office/drawing/2014/main" id="{00000000-0008-0000-07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FS01\Tom\HFDM%20Share\hfdm%20v01.09.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Main"/>
      <sheetName val="Admin"/>
      <sheetName val="Temp"/>
      <sheetName val="Field Test Report"/>
      <sheetName val="Notebook"/>
      <sheetName val="Chain Of Custody"/>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6" Type="http://schemas.openxmlformats.org/officeDocument/2006/relationships/image" Target="../media/image11.emf"/><Relationship Id="rId117" Type="http://schemas.openxmlformats.org/officeDocument/2006/relationships/control" Target="../activeX/activeX70.xml"/><Relationship Id="rId21" Type="http://schemas.openxmlformats.org/officeDocument/2006/relationships/control" Target="../activeX/activeX13.xml"/><Relationship Id="rId42" Type="http://schemas.openxmlformats.org/officeDocument/2006/relationships/image" Target="../media/image19.emf"/><Relationship Id="rId47" Type="http://schemas.openxmlformats.org/officeDocument/2006/relationships/image" Target="../media/image21.emf"/><Relationship Id="rId63" Type="http://schemas.openxmlformats.org/officeDocument/2006/relationships/control" Target="../activeX/activeX39.xml"/><Relationship Id="rId68" Type="http://schemas.openxmlformats.org/officeDocument/2006/relationships/control" Target="../activeX/activeX43.xml"/><Relationship Id="rId84" Type="http://schemas.openxmlformats.org/officeDocument/2006/relationships/image" Target="../media/image31.emf"/><Relationship Id="rId89" Type="http://schemas.openxmlformats.org/officeDocument/2006/relationships/control" Target="../activeX/activeX56.xml"/><Relationship Id="rId112" Type="http://schemas.openxmlformats.org/officeDocument/2006/relationships/image" Target="../media/image45.emf"/><Relationship Id="rId133" Type="http://schemas.openxmlformats.org/officeDocument/2006/relationships/control" Target="../activeX/activeX78.xml"/><Relationship Id="rId138" Type="http://schemas.openxmlformats.org/officeDocument/2006/relationships/image" Target="../media/image58.emf"/><Relationship Id="rId154" Type="http://schemas.openxmlformats.org/officeDocument/2006/relationships/image" Target="../media/image66.emf"/><Relationship Id="rId159" Type="http://schemas.openxmlformats.org/officeDocument/2006/relationships/control" Target="../activeX/activeX91.xml"/><Relationship Id="rId16" Type="http://schemas.openxmlformats.org/officeDocument/2006/relationships/control" Target="../activeX/activeX10.xml"/><Relationship Id="rId107" Type="http://schemas.openxmlformats.org/officeDocument/2006/relationships/control" Target="../activeX/activeX65.xml"/><Relationship Id="rId11" Type="http://schemas.openxmlformats.org/officeDocument/2006/relationships/control" Target="../activeX/activeX7.xml"/><Relationship Id="rId32" Type="http://schemas.openxmlformats.org/officeDocument/2006/relationships/image" Target="../media/image14.emf"/><Relationship Id="rId37" Type="http://schemas.openxmlformats.org/officeDocument/2006/relationships/control" Target="../activeX/activeX21.xml"/><Relationship Id="rId53" Type="http://schemas.openxmlformats.org/officeDocument/2006/relationships/control" Target="../activeX/activeX30.xml"/><Relationship Id="rId58" Type="http://schemas.openxmlformats.org/officeDocument/2006/relationships/control" Target="../activeX/activeX34.xml"/><Relationship Id="rId74" Type="http://schemas.openxmlformats.org/officeDocument/2006/relationships/control" Target="../activeX/activeX48.xml"/><Relationship Id="rId79" Type="http://schemas.openxmlformats.org/officeDocument/2006/relationships/control" Target="../activeX/activeX51.xml"/><Relationship Id="rId102" Type="http://schemas.openxmlformats.org/officeDocument/2006/relationships/image" Target="../media/image40.emf"/><Relationship Id="rId123" Type="http://schemas.openxmlformats.org/officeDocument/2006/relationships/control" Target="../activeX/activeX73.xml"/><Relationship Id="rId128" Type="http://schemas.openxmlformats.org/officeDocument/2006/relationships/image" Target="../media/image53.emf"/><Relationship Id="rId144" Type="http://schemas.openxmlformats.org/officeDocument/2006/relationships/image" Target="../media/image61.emf"/><Relationship Id="rId149" Type="http://schemas.openxmlformats.org/officeDocument/2006/relationships/control" Target="../activeX/activeX86.xml"/><Relationship Id="rId5" Type="http://schemas.openxmlformats.org/officeDocument/2006/relationships/image" Target="../media/image3.emf"/><Relationship Id="rId90" Type="http://schemas.openxmlformats.org/officeDocument/2006/relationships/image" Target="../media/image34.emf"/><Relationship Id="rId95" Type="http://schemas.openxmlformats.org/officeDocument/2006/relationships/control" Target="../activeX/activeX59.xml"/><Relationship Id="rId160" Type="http://schemas.openxmlformats.org/officeDocument/2006/relationships/image" Target="../media/image69.emf"/><Relationship Id="rId22" Type="http://schemas.openxmlformats.org/officeDocument/2006/relationships/image" Target="../media/image9.emf"/><Relationship Id="rId27" Type="http://schemas.openxmlformats.org/officeDocument/2006/relationships/control" Target="../activeX/activeX16.xml"/><Relationship Id="rId43" Type="http://schemas.openxmlformats.org/officeDocument/2006/relationships/control" Target="../activeX/activeX24.xml"/><Relationship Id="rId48" Type="http://schemas.openxmlformats.org/officeDocument/2006/relationships/control" Target="../activeX/activeX27.xml"/><Relationship Id="rId64" Type="http://schemas.openxmlformats.org/officeDocument/2006/relationships/control" Target="../activeX/activeX40.xml"/><Relationship Id="rId69" Type="http://schemas.openxmlformats.org/officeDocument/2006/relationships/control" Target="../activeX/activeX44.xml"/><Relationship Id="rId113" Type="http://schemas.openxmlformats.org/officeDocument/2006/relationships/control" Target="../activeX/activeX68.xml"/><Relationship Id="rId118" Type="http://schemas.openxmlformats.org/officeDocument/2006/relationships/image" Target="../media/image48.emf"/><Relationship Id="rId134" Type="http://schemas.openxmlformats.org/officeDocument/2006/relationships/image" Target="../media/image56.emf"/><Relationship Id="rId139" Type="http://schemas.openxmlformats.org/officeDocument/2006/relationships/control" Target="../activeX/activeX81.xml"/><Relationship Id="rId80" Type="http://schemas.openxmlformats.org/officeDocument/2006/relationships/image" Target="../media/image29.emf"/><Relationship Id="rId85" Type="http://schemas.openxmlformats.org/officeDocument/2006/relationships/control" Target="../activeX/activeX54.xml"/><Relationship Id="rId150" Type="http://schemas.openxmlformats.org/officeDocument/2006/relationships/image" Target="../media/image64.emf"/><Relationship Id="rId155" Type="http://schemas.openxmlformats.org/officeDocument/2006/relationships/control" Target="../activeX/activeX89.xml"/><Relationship Id="rId12" Type="http://schemas.openxmlformats.org/officeDocument/2006/relationships/control" Target="../activeX/activeX8.xml"/><Relationship Id="rId17" Type="http://schemas.openxmlformats.org/officeDocument/2006/relationships/control" Target="../activeX/activeX11.xml"/><Relationship Id="rId33" Type="http://schemas.openxmlformats.org/officeDocument/2006/relationships/control" Target="../activeX/activeX19.xml"/><Relationship Id="rId38" Type="http://schemas.openxmlformats.org/officeDocument/2006/relationships/image" Target="../media/image17.emf"/><Relationship Id="rId59" Type="http://schemas.openxmlformats.org/officeDocument/2006/relationships/control" Target="../activeX/activeX35.xml"/><Relationship Id="rId103" Type="http://schemas.openxmlformats.org/officeDocument/2006/relationships/control" Target="../activeX/activeX63.xml"/><Relationship Id="rId108" Type="http://schemas.openxmlformats.org/officeDocument/2006/relationships/image" Target="../media/image43.emf"/><Relationship Id="rId124" Type="http://schemas.openxmlformats.org/officeDocument/2006/relationships/image" Target="../media/image51.emf"/><Relationship Id="rId129" Type="http://schemas.openxmlformats.org/officeDocument/2006/relationships/control" Target="../activeX/activeX76.xml"/><Relationship Id="rId20" Type="http://schemas.openxmlformats.org/officeDocument/2006/relationships/image" Target="../media/image8.emf"/><Relationship Id="rId41" Type="http://schemas.openxmlformats.org/officeDocument/2006/relationships/control" Target="../activeX/activeX23.xml"/><Relationship Id="rId54" Type="http://schemas.openxmlformats.org/officeDocument/2006/relationships/image" Target="../media/image24.emf"/><Relationship Id="rId62" Type="http://schemas.openxmlformats.org/officeDocument/2006/relationships/control" Target="../activeX/activeX38.xml"/><Relationship Id="rId70" Type="http://schemas.openxmlformats.org/officeDocument/2006/relationships/control" Target="../activeX/activeX45.xml"/><Relationship Id="rId75" Type="http://schemas.openxmlformats.org/officeDocument/2006/relationships/control" Target="../activeX/activeX49.xml"/><Relationship Id="rId83" Type="http://schemas.openxmlformats.org/officeDocument/2006/relationships/control" Target="../activeX/activeX53.xml"/><Relationship Id="rId88" Type="http://schemas.openxmlformats.org/officeDocument/2006/relationships/image" Target="../media/image33.emf"/><Relationship Id="rId91" Type="http://schemas.openxmlformats.org/officeDocument/2006/relationships/control" Target="../activeX/activeX57.xml"/><Relationship Id="rId96" Type="http://schemas.openxmlformats.org/officeDocument/2006/relationships/image" Target="../media/image37.emf"/><Relationship Id="rId111" Type="http://schemas.openxmlformats.org/officeDocument/2006/relationships/control" Target="../activeX/activeX67.xml"/><Relationship Id="rId132" Type="http://schemas.openxmlformats.org/officeDocument/2006/relationships/image" Target="../media/image55.emf"/><Relationship Id="rId140" Type="http://schemas.openxmlformats.org/officeDocument/2006/relationships/image" Target="../media/image59.emf"/><Relationship Id="rId145" Type="http://schemas.openxmlformats.org/officeDocument/2006/relationships/control" Target="../activeX/activeX84.xml"/><Relationship Id="rId153" Type="http://schemas.openxmlformats.org/officeDocument/2006/relationships/control" Target="../activeX/activeX88.xml"/><Relationship Id="rId161"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control" Target="../activeX/activeX3.xml"/><Relationship Id="rId15" Type="http://schemas.openxmlformats.org/officeDocument/2006/relationships/image" Target="../media/image6.emf"/><Relationship Id="rId23" Type="http://schemas.openxmlformats.org/officeDocument/2006/relationships/control" Target="../activeX/activeX14.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8.xml"/><Relationship Id="rId57" Type="http://schemas.openxmlformats.org/officeDocument/2006/relationships/control" Target="../activeX/activeX33.xml"/><Relationship Id="rId106" Type="http://schemas.openxmlformats.org/officeDocument/2006/relationships/image" Target="../media/image42.emf"/><Relationship Id="rId114" Type="http://schemas.openxmlformats.org/officeDocument/2006/relationships/image" Target="../media/image46.emf"/><Relationship Id="rId119" Type="http://schemas.openxmlformats.org/officeDocument/2006/relationships/control" Target="../activeX/activeX71.xml"/><Relationship Id="rId127" Type="http://schemas.openxmlformats.org/officeDocument/2006/relationships/control" Target="../activeX/activeX75.xml"/><Relationship Id="rId10" Type="http://schemas.openxmlformats.org/officeDocument/2006/relationships/control" Target="../activeX/activeX6.xml"/><Relationship Id="rId31" Type="http://schemas.openxmlformats.org/officeDocument/2006/relationships/control" Target="../activeX/activeX18.xml"/><Relationship Id="rId44" Type="http://schemas.openxmlformats.org/officeDocument/2006/relationships/control" Target="../activeX/activeX25.xml"/><Relationship Id="rId52" Type="http://schemas.openxmlformats.org/officeDocument/2006/relationships/image" Target="../media/image23.emf"/><Relationship Id="rId60" Type="http://schemas.openxmlformats.org/officeDocument/2006/relationships/control" Target="../activeX/activeX36.xml"/><Relationship Id="rId65" Type="http://schemas.openxmlformats.org/officeDocument/2006/relationships/control" Target="../activeX/activeX41.xml"/><Relationship Id="rId73" Type="http://schemas.openxmlformats.org/officeDocument/2006/relationships/control" Target="../activeX/activeX47.xml"/><Relationship Id="rId78" Type="http://schemas.openxmlformats.org/officeDocument/2006/relationships/image" Target="../media/image28.emf"/><Relationship Id="rId81" Type="http://schemas.openxmlformats.org/officeDocument/2006/relationships/control" Target="../activeX/activeX52.xml"/><Relationship Id="rId86" Type="http://schemas.openxmlformats.org/officeDocument/2006/relationships/image" Target="../media/image32.emf"/><Relationship Id="rId94" Type="http://schemas.openxmlformats.org/officeDocument/2006/relationships/image" Target="../media/image36.emf"/><Relationship Id="rId99" Type="http://schemas.openxmlformats.org/officeDocument/2006/relationships/control" Target="../activeX/activeX61.xml"/><Relationship Id="rId101" Type="http://schemas.openxmlformats.org/officeDocument/2006/relationships/control" Target="../activeX/activeX62.xml"/><Relationship Id="rId122" Type="http://schemas.openxmlformats.org/officeDocument/2006/relationships/image" Target="../media/image50.emf"/><Relationship Id="rId130" Type="http://schemas.openxmlformats.org/officeDocument/2006/relationships/image" Target="../media/image54.emf"/><Relationship Id="rId135" Type="http://schemas.openxmlformats.org/officeDocument/2006/relationships/control" Target="../activeX/activeX79.xml"/><Relationship Id="rId143" Type="http://schemas.openxmlformats.org/officeDocument/2006/relationships/control" Target="../activeX/activeX83.xml"/><Relationship Id="rId148" Type="http://schemas.openxmlformats.org/officeDocument/2006/relationships/image" Target="../media/image63.emf"/><Relationship Id="rId151" Type="http://schemas.openxmlformats.org/officeDocument/2006/relationships/control" Target="../activeX/activeX87.xml"/><Relationship Id="rId156" Type="http://schemas.openxmlformats.org/officeDocument/2006/relationships/image" Target="../media/image67.emf"/><Relationship Id="rId4" Type="http://schemas.openxmlformats.org/officeDocument/2006/relationships/control" Target="../activeX/activeX2.xml"/><Relationship Id="rId9" Type="http://schemas.openxmlformats.org/officeDocument/2006/relationships/control" Target="../activeX/activeX5.xml"/><Relationship Id="rId13" Type="http://schemas.openxmlformats.org/officeDocument/2006/relationships/image" Target="../media/image5.emf"/><Relationship Id="rId18" Type="http://schemas.openxmlformats.org/officeDocument/2006/relationships/image" Target="../media/image7.emf"/><Relationship Id="rId39" Type="http://schemas.openxmlformats.org/officeDocument/2006/relationships/control" Target="../activeX/activeX22.xml"/><Relationship Id="rId109" Type="http://schemas.openxmlformats.org/officeDocument/2006/relationships/control" Target="../activeX/activeX66.xml"/><Relationship Id="rId34" Type="http://schemas.openxmlformats.org/officeDocument/2006/relationships/image" Target="../media/image15.emf"/><Relationship Id="rId50" Type="http://schemas.openxmlformats.org/officeDocument/2006/relationships/image" Target="../media/image22.emf"/><Relationship Id="rId55" Type="http://schemas.openxmlformats.org/officeDocument/2006/relationships/control" Target="../activeX/activeX31.xml"/><Relationship Id="rId76" Type="http://schemas.openxmlformats.org/officeDocument/2006/relationships/image" Target="../media/image27.emf"/><Relationship Id="rId97" Type="http://schemas.openxmlformats.org/officeDocument/2006/relationships/control" Target="../activeX/activeX60.xml"/><Relationship Id="rId104" Type="http://schemas.openxmlformats.org/officeDocument/2006/relationships/image" Target="../media/image41.emf"/><Relationship Id="rId120" Type="http://schemas.openxmlformats.org/officeDocument/2006/relationships/image" Target="../media/image49.emf"/><Relationship Id="rId125" Type="http://schemas.openxmlformats.org/officeDocument/2006/relationships/control" Target="../activeX/activeX74.xml"/><Relationship Id="rId141" Type="http://schemas.openxmlformats.org/officeDocument/2006/relationships/control" Target="../activeX/activeX82.xml"/><Relationship Id="rId146" Type="http://schemas.openxmlformats.org/officeDocument/2006/relationships/image" Target="../media/image62.emf"/><Relationship Id="rId7" Type="http://schemas.openxmlformats.org/officeDocument/2006/relationships/image" Target="../media/image4.emf"/><Relationship Id="rId71" Type="http://schemas.openxmlformats.org/officeDocument/2006/relationships/control" Target="../activeX/activeX46.xml"/><Relationship Id="rId92" Type="http://schemas.openxmlformats.org/officeDocument/2006/relationships/image" Target="../media/image35.emf"/><Relationship Id="rId2" Type="http://schemas.openxmlformats.org/officeDocument/2006/relationships/drawing" Target="../drawings/drawing2.xml"/><Relationship Id="rId29" Type="http://schemas.openxmlformats.org/officeDocument/2006/relationships/control" Target="../activeX/activeX17.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image" Target="../media/image20.emf"/><Relationship Id="rId66" Type="http://schemas.openxmlformats.org/officeDocument/2006/relationships/image" Target="../media/image25.emf"/><Relationship Id="rId87" Type="http://schemas.openxmlformats.org/officeDocument/2006/relationships/control" Target="../activeX/activeX55.xml"/><Relationship Id="rId110" Type="http://schemas.openxmlformats.org/officeDocument/2006/relationships/image" Target="../media/image44.emf"/><Relationship Id="rId115" Type="http://schemas.openxmlformats.org/officeDocument/2006/relationships/control" Target="../activeX/activeX69.xml"/><Relationship Id="rId131" Type="http://schemas.openxmlformats.org/officeDocument/2006/relationships/control" Target="../activeX/activeX77.xml"/><Relationship Id="rId136" Type="http://schemas.openxmlformats.org/officeDocument/2006/relationships/image" Target="../media/image57.emf"/><Relationship Id="rId157" Type="http://schemas.openxmlformats.org/officeDocument/2006/relationships/control" Target="../activeX/activeX90.xml"/><Relationship Id="rId61" Type="http://schemas.openxmlformats.org/officeDocument/2006/relationships/control" Target="../activeX/activeX37.xml"/><Relationship Id="rId82" Type="http://schemas.openxmlformats.org/officeDocument/2006/relationships/image" Target="../media/image30.emf"/><Relationship Id="rId152" Type="http://schemas.openxmlformats.org/officeDocument/2006/relationships/image" Target="../media/image65.emf"/><Relationship Id="rId19" Type="http://schemas.openxmlformats.org/officeDocument/2006/relationships/control" Target="../activeX/activeX12.xml"/><Relationship Id="rId14" Type="http://schemas.openxmlformats.org/officeDocument/2006/relationships/control" Target="../activeX/activeX9.xml"/><Relationship Id="rId30" Type="http://schemas.openxmlformats.org/officeDocument/2006/relationships/image" Target="../media/image13.emf"/><Relationship Id="rId35" Type="http://schemas.openxmlformats.org/officeDocument/2006/relationships/control" Target="../activeX/activeX20.xml"/><Relationship Id="rId56" Type="http://schemas.openxmlformats.org/officeDocument/2006/relationships/control" Target="../activeX/activeX32.xml"/><Relationship Id="rId77" Type="http://schemas.openxmlformats.org/officeDocument/2006/relationships/control" Target="../activeX/activeX50.xml"/><Relationship Id="rId100" Type="http://schemas.openxmlformats.org/officeDocument/2006/relationships/image" Target="../media/image39.emf"/><Relationship Id="rId105" Type="http://schemas.openxmlformats.org/officeDocument/2006/relationships/control" Target="../activeX/activeX64.xml"/><Relationship Id="rId126" Type="http://schemas.openxmlformats.org/officeDocument/2006/relationships/image" Target="../media/image52.emf"/><Relationship Id="rId147" Type="http://schemas.openxmlformats.org/officeDocument/2006/relationships/control" Target="../activeX/activeX85.xml"/><Relationship Id="rId8" Type="http://schemas.openxmlformats.org/officeDocument/2006/relationships/control" Target="../activeX/activeX4.xml"/><Relationship Id="rId51" Type="http://schemas.openxmlformats.org/officeDocument/2006/relationships/control" Target="../activeX/activeX29.xml"/><Relationship Id="rId72" Type="http://schemas.openxmlformats.org/officeDocument/2006/relationships/image" Target="../media/image26.emf"/><Relationship Id="rId93" Type="http://schemas.openxmlformats.org/officeDocument/2006/relationships/control" Target="../activeX/activeX58.xml"/><Relationship Id="rId98" Type="http://schemas.openxmlformats.org/officeDocument/2006/relationships/image" Target="../media/image38.emf"/><Relationship Id="rId121" Type="http://schemas.openxmlformats.org/officeDocument/2006/relationships/control" Target="../activeX/activeX72.xml"/><Relationship Id="rId142" Type="http://schemas.openxmlformats.org/officeDocument/2006/relationships/image" Target="../media/image60.emf"/><Relationship Id="rId3" Type="http://schemas.openxmlformats.org/officeDocument/2006/relationships/vmlDrawing" Target="../drawings/vmlDrawing2.vml"/><Relationship Id="rId25" Type="http://schemas.openxmlformats.org/officeDocument/2006/relationships/control" Target="../activeX/activeX15.xml"/><Relationship Id="rId46" Type="http://schemas.openxmlformats.org/officeDocument/2006/relationships/control" Target="../activeX/activeX26.xml"/><Relationship Id="rId67" Type="http://schemas.openxmlformats.org/officeDocument/2006/relationships/control" Target="../activeX/activeX42.xml"/><Relationship Id="rId116" Type="http://schemas.openxmlformats.org/officeDocument/2006/relationships/image" Target="../media/image47.emf"/><Relationship Id="rId137" Type="http://schemas.openxmlformats.org/officeDocument/2006/relationships/control" Target="../activeX/activeX80.xml"/><Relationship Id="rId158" Type="http://schemas.openxmlformats.org/officeDocument/2006/relationships/image" Target="../media/image68.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5.vml"/><Relationship Id="rId7" Type="http://schemas.openxmlformats.org/officeDocument/2006/relationships/image" Target="../media/image71.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93.xml"/><Relationship Id="rId5" Type="http://schemas.openxmlformats.org/officeDocument/2006/relationships/image" Target="../media/image70.emf"/><Relationship Id="rId4" Type="http://schemas.openxmlformats.org/officeDocument/2006/relationships/control" Target="../activeX/activeX9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6.vml"/><Relationship Id="rId7" Type="http://schemas.openxmlformats.org/officeDocument/2006/relationships/image" Target="../media/image73.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95.xml"/><Relationship Id="rId5" Type="http://schemas.openxmlformats.org/officeDocument/2006/relationships/image" Target="../media/image72.emf"/><Relationship Id="rId4" Type="http://schemas.openxmlformats.org/officeDocument/2006/relationships/control" Target="../activeX/activeX9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7.vml"/><Relationship Id="rId7" Type="http://schemas.openxmlformats.org/officeDocument/2006/relationships/image" Target="../media/image75.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97.xml"/><Relationship Id="rId5" Type="http://schemas.openxmlformats.org/officeDocument/2006/relationships/image" Target="../media/image74.emf"/><Relationship Id="rId4" Type="http://schemas.openxmlformats.org/officeDocument/2006/relationships/control" Target="../activeX/activeX96.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98.xml"/><Relationship Id="rId7"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drawing" Target="../drawings/drawing6.xml"/><Relationship Id="rId6" Type="http://schemas.openxmlformats.org/officeDocument/2006/relationships/image" Target="../media/image77.emf"/><Relationship Id="rId5" Type="http://schemas.openxmlformats.org/officeDocument/2006/relationships/control" Target="../activeX/activeX99.xml"/><Relationship Id="rId4" Type="http://schemas.openxmlformats.org/officeDocument/2006/relationships/image" Target="../media/image7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E9:M16"/>
  <sheetViews>
    <sheetView showGridLines="0" showRowColHeaders="0" tabSelected="1" workbookViewId="0">
      <selection activeCell="E41" sqref="E41"/>
    </sheetView>
  </sheetViews>
  <sheetFormatPr defaultColWidth="9.140625" defaultRowHeight="12.75" x14ac:dyDescent="0.2"/>
  <cols>
    <col min="1" max="3" width="9.140625" style="4"/>
    <col min="4" max="4" width="10.5703125" style="4" customWidth="1"/>
    <col min="5" max="16384" width="9.140625" style="4"/>
  </cols>
  <sheetData>
    <row r="9" spans="5:13" x14ac:dyDescent="0.2">
      <c r="L9" s="210"/>
    </row>
    <row r="10" spans="5:13" ht="33" x14ac:dyDescent="0.45">
      <c r="M10" s="211"/>
    </row>
    <row r="16" spans="5:13" x14ac:dyDescent="0.2">
      <c r="E16" s="5"/>
    </row>
  </sheetData>
  <sheetProtection algorithmName="SHA-512" hashValue="dQewcFzcWI/5+4pWGGY3ks/S5ZJFNPY/lkKVnN5RjW6k9rCR38eaqwsPZvNZTvBlvaHhSIzz3wdBLA/E0KuoLQ==" saltValue="TmUMJ8vCCb3ZX1ex6+zHwg==" spinCount="100000" sheet="1" objects="1" scenarios="1"/>
  <phoneticPr fontId="0" type="noConversion"/>
  <pageMargins left="0.75" right="0.75" top="1" bottom="1" header="0.5" footer="0.5"/>
  <pageSetup orientation="portrait" horizontalDpi="4294967293" r:id="rId1"/>
  <headerFooter alignWithMargins="0"/>
  <drawing r:id="rId2"/>
  <legacyDrawing r:id="rId3"/>
  <controls>
    <mc:AlternateContent xmlns:mc="http://schemas.openxmlformats.org/markup-compatibility/2006">
      <mc:Choice Requires="x14">
        <control shapeId="4100" r:id="rId4" name="cmdLogin">
          <controlPr defaultSize="0" autoLine="0" r:id="rId5">
            <anchor moveWithCells="1">
              <from>
                <xdr:col>4</xdr:col>
                <xdr:colOff>0</xdr:colOff>
                <xdr:row>13</xdr:row>
                <xdr:rowOff>66675</xdr:rowOff>
              </from>
              <to>
                <xdr:col>5</xdr:col>
                <xdr:colOff>371475</xdr:colOff>
                <xdr:row>15</xdr:row>
                <xdr:rowOff>66675</xdr:rowOff>
              </to>
            </anchor>
          </controlPr>
        </control>
      </mc:Choice>
      <mc:Fallback>
        <control shapeId="4100" r:id="rId4" name="cmdLogi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autoPageBreaks="0" fitToPage="1"/>
  </sheetPr>
  <dimension ref="A1:BA1121"/>
  <sheetViews>
    <sheetView showGridLines="0" topLeftCell="AP1" workbookViewId="0">
      <selection activeCell="BD17" sqref="BD17"/>
    </sheetView>
  </sheetViews>
  <sheetFormatPr defaultColWidth="9.140625" defaultRowHeight="11.25" x14ac:dyDescent="0.2"/>
  <cols>
    <col min="1" max="2" width="9.5703125" style="2" hidden="1" customWidth="1"/>
    <col min="3" max="3" width="11.85546875" style="2" hidden="1" customWidth="1"/>
    <col min="4" max="4" width="10.7109375" style="2" hidden="1" customWidth="1"/>
    <col min="5" max="5" width="7.7109375" style="2" hidden="1" customWidth="1"/>
    <col min="6" max="6" width="8.7109375" style="2" hidden="1" customWidth="1"/>
    <col min="7" max="7" width="9.28515625" style="2" hidden="1" customWidth="1"/>
    <col min="8" max="8" width="7.7109375" style="2" hidden="1" customWidth="1"/>
    <col min="9" max="9" width="8.7109375" style="2" hidden="1" customWidth="1"/>
    <col min="10" max="10" width="9" style="2" hidden="1" customWidth="1"/>
    <col min="11" max="11" width="8.7109375" style="2" hidden="1" customWidth="1"/>
    <col min="12" max="12" width="7" style="2" hidden="1" customWidth="1"/>
    <col min="13" max="13" width="8.140625" style="2" hidden="1" customWidth="1"/>
    <col min="14" max="14" width="10.85546875" style="2" hidden="1" customWidth="1"/>
    <col min="15" max="15" width="21.7109375" style="2" hidden="1" customWidth="1"/>
    <col min="16" max="16" width="13.7109375" style="2" hidden="1" customWidth="1"/>
    <col min="17" max="17" width="16.42578125" style="2" hidden="1" customWidth="1"/>
    <col min="18" max="18" width="12.28515625" style="2" hidden="1" customWidth="1"/>
    <col min="19" max="19" width="9" style="2" hidden="1" customWidth="1"/>
    <col min="20" max="20" width="9.42578125" style="2" hidden="1" customWidth="1"/>
    <col min="21" max="21" width="9.140625" style="2" hidden="1" customWidth="1"/>
    <col min="22" max="22" width="8.28515625" style="2" hidden="1" customWidth="1"/>
    <col min="23" max="23" width="8.7109375" style="2" hidden="1" customWidth="1"/>
    <col min="24" max="24" width="6.140625" style="2" hidden="1" customWidth="1"/>
    <col min="25" max="25" width="16.42578125" style="2" hidden="1" customWidth="1"/>
    <col min="26" max="26" width="11.42578125" style="2" hidden="1" customWidth="1"/>
    <col min="27" max="27" width="7.85546875" style="2" hidden="1" customWidth="1"/>
    <col min="28" max="28" width="8.85546875" style="2" hidden="1" customWidth="1"/>
    <col min="29" max="29" width="7.7109375" style="2" hidden="1" customWidth="1"/>
    <col min="30" max="31" width="4" style="2" customWidth="1"/>
    <col min="32" max="32" width="22.42578125" style="2" customWidth="1"/>
    <col min="33" max="33" width="15.42578125" style="2" customWidth="1"/>
    <col min="34" max="34" width="4.140625" style="2" hidden="1" customWidth="1"/>
    <col min="35" max="41" width="17.7109375" style="2" hidden="1" customWidth="1"/>
    <col min="42" max="48" width="17.7109375" style="2" customWidth="1"/>
    <col min="49" max="53" width="17.7109375" style="2" hidden="1" customWidth="1"/>
    <col min="54" max="16384" width="9.140625" style="2"/>
  </cols>
  <sheetData>
    <row r="1" spans="1:53" ht="18" customHeight="1" x14ac:dyDescent="0.2">
      <c r="A1" s="248" t="s">
        <v>135</v>
      </c>
      <c r="B1" s="248"/>
      <c r="C1" s="248"/>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50"/>
      <c r="AD1" s="251"/>
      <c r="AE1" s="252"/>
      <c r="AF1" s="252"/>
      <c r="AG1" s="253"/>
      <c r="AH1" s="14"/>
    </row>
    <row r="2" spans="1:53" ht="16.350000000000001" customHeight="1" x14ac:dyDescent="0.2">
      <c r="K2" s="3"/>
      <c r="L2" s="3"/>
      <c r="M2" s="3"/>
      <c r="N2" s="3"/>
      <c r="O2" s="3"/>
      <c r="P2" s="3"/>
      <c r="Q2" s="3"/>
      <c r="R2" s="3"/>
      <c r="S2" s="3"/>
      <c r="T2" s="3"/>
      <c r="U2" s="3"/>
      <c r="V2" s="3"/>
      <c r="W2" s="3"/>
      <c r="X2" s="3"/>
      <c r="Y2" s="3"/>
      <c r="Z2" s="3"/>
      <c r="AA2" s="3"/>
      <c r="AB2" s="3"/>
      <c r="AC2" s="3"/>
      <c r="AD2" s="254"/>
      <c r="AE2" s="250"/>
      <c r="AF2" s="250"/>
      <c r="AG2" s="255"/>
      <c r="AH2" s="14"/>
    </row>
    <row r="3" spans="1:53" ht="16.350000000000001" customHeight="1" thickBot="1" x14ac:dyDescent="0.25">
      <c r="K3" s="3"/>
      <c r="L3" s="3"/>
      <c r="M3" s="3"/>
      <c r="N3" s="3"/>
      <c r="O3" s="3"/>
      <c r="P3" s="3"/>
      <c r="Q3" s="3"/>
      <c r="R3" s="3"/>
      <c r="S3" s="3"/>
      <c r="T3" s="3"/>
      <c r="U3" s="3"/>
      <c r="V3" s="3"/>
      <c r="W3" s="3"/>
      <c r="X3" s="3"/>
      <c r="Y3" s="3"/>
      <c r="Z3" s="3"/>
      <c r="AA3" s="3"/>
      <c r="AB3" s="3"/>
      <c r="AC3" s="3"/>
      <c r="AD3" s="256"/>
      <c r="AE3" s="257"/>
      <c r="AF3" s="257"/>
      <c r="AG3" s="258"/>
      <c r="AH3" s="14"/>
    </row>
    <row r="4" spans="1:53" ht="16.350000000000001" customHeight="1" x14ac:dyDescent="0.2">
      <c r="K4" s="3"/>
      <c r="L4" s="3"/>
      <c r="M4" s="3"/>
      <c r="N4" s="3"/>
      <c r="O4" s="3"/>
      <c r="P4" s="3"/>
      <c r="Q4" s="3"/>
      <c r="R4" s="3"/>
      <c r="S4" s="3"/>
      <c r="T4" s="3"/>
      <c r="U4" s="3"/>
      <c r="V4" s="3"/>
      <c r="W4" s="3"/>
      <c r="X4" s="3"/>
      <c r="Y4" s="3"/>
      <c r="Z4" s="3"/>
      <c r="AA4" s="3"/>
      <c r="AB4" s="3"/>
      <c r="AC4" s="3"/>
      <c r="AD4" s="259"/>
      <c r="AE4" s="260"/>
      <c r="AF4" s="260"/>
      <c r="AG4" s="261"/>
      <c r="AH4" s="14"/>
    </row>
    <row r="5" spans="1:53" ht="16.350000000000001" customHeight="1" x14ac:dyDescent="0.2">
      <c r="K5" s="3"/>
      <c r="L5" s="3"/>
      <c r="M5" s="3"/>
      <c r="N5" s="3"/>
      <c r="O5" s="3"/>
      <c r="P5" s="3"/>
      <c r="Q5" s="3"/>
      <c r="R5" s="3"/>
      <c r="S5" s="3"/>
      <c r="T5" s="3"/>
      <c r="U5" s="3"/>
      <c r="V5" s="3"/>
      <c r="W5" s="3"/>
      <c r="X5" s="3"/>
      <c r="Y5" s="3"/>
      <c r="Z5" s="3"/>
      <c r="AA5" s="3"/>
      <c r="AB5" s="3"/>
      <c r="AC5" s="3"/>
      <c r="AD5" s="262"/>
      <c r="AE5" s="263"/>
      <c r="AF5" s="263"/>
      <c r="AG5" s="264"/>
      <c r="AH5" s="14"/>
    </row>
    <row r="6" spans="1:53" ht="16.350000000000001" customHeight="1" x14ac:dyDescent="0.2">
      <c r="K6" s="3"/>
      <c r="L6" s="3"/>
      <c r="M6" s="3"/>
      <c r="N6" s="3"/>
      <c r="O6" s="3"/>
      <c r="P6" s="3"/>
      <c r="Q6" s="3"/>
      <c r="R6" s="3"/>
      <c r="S6" s="3"/>
      <c r="T6" s="3"/>
      <c r="U6" s="3"/>
      <c r="V6" s="3"/>
      <c r="W6" s="3"/>
      <c r="X6" s="3"/>
      <c r="Y6" s="3"/>
      <c r="Z6" s="3"/>
      <c r="AA6" s="3"/>
      <c r="AB6" s="3"/>
      <c r="AC6" s="3"/>
      <c r="AD6" s="262"/>
      <c r="AE6" s="263"/>
      <c r="AF6" s="263"/>
      <c r="AG6" s="264"/>
      <c r="AH6" s="14"/>
    </row>
    <row r="7" spans="1:53" ht="16.350000000000001" customHeight="1" x14ac:dyDescent="0.2">
      <c r="K7" s="3"/>
      <c r="L7" s="3"/>
      <c r="M7" s="3"/>
      <c r="N7" s="3"/>
      <c r="O7" s="3"/>
      <c r="P7" s="3"/>
      <c r="Q7" s="3"/>
      <c r="R7" s="3"/>
      <c r="S7" s="3"/>
      <c r="T7" s="3"/>
      <c r="U7" s="3"/>
      <c r="V7" s="3"/>
      <c r="W7" s="3"/>
      <c r="X7" s="3"/>
      <c r="Y7" s="3"/>
      <c r="Z7" s="3"/>
      <c r="AA7" s="3"/>
      <c r="AB7" s="3"/>
      <c r="AC7" s="3"/>
      <c r="AD7" s="262"/>
      <c r="AE7" s="263"/>
      <c r="AF7" s="263"/>
      <c r="AG7" s="264"/>
      <c r="AH7" s="14"/>
    </row>
    <row r="8" spans="1:53" ht="16.350000000000001" customHeight="1" x14ac:dyDescent="0.2">
      <c r="K8" s="3"/>
      <c r="L8" s="3"/>
      <c r="M8" s="3"/>
      <c r="N8" s="3"/>
      <c r="O8" s="3"/>
      <c r="P8" s="3"/>
      <c r="Q8" s="3"/>
      <c r="R8" s="3"/>
      <c r="S8" s="3"/>
      <c r="T8" s="3"/>
      <c r="U8" s="3"/>
      <c r="V8" s="3"/>
      <c r="W8" s="3"/>
      <c r="X8" s="3"/>
      <c r="Y8" s="3"/>
      <c r="Z8" s="3"/>
      <c r="AA8" s="3"/>
      <c r="AB8" s="3"/>
      <c r="AC8" s="3"/>
      <c r="AD8" s="262"/>
      <c r="AE8" s="263"/>
      <c r="AF8" s="263"/>
      <c r="AG8" s="264"/>
      <c r="AH8" s="14"/>
    </row>
    <row r="9" spans="1:53" ht="16.350000000000001" customHeight="1" x14ac:dyDescent="0.2">
      <c r="K9" s="3"/>
      <c r="L9" s="3"/>
      <c r="M9" s="3"/>
      <c r="N9" s="3"/>
      <c r="O9" s="3"/>
      <c r="P9" s="3"/>
      <c r="Q9" s="3"/>
      <c r="R9" s="3"/>
      <c r="S9" s="3"/>
      <c r="T9" s="3"/>
      <c r="U9" s="3"/>
      <c r="V9" s="3"/>
      <c r="W9" s="3"/>
      <c r="X9" s="3"/>
      <c r="Y9" s="3"/>
      <c r="Z9" s="3"/>
      <c r="AA9" s="3"/>
      <c r="AB9" s="3"/>
      <c r="AC9" s="3"/>
      <c r="AD9" s="262"/>
      <c r="AE9" s="263"/>
      <c r="AF9" s="263"/>
      <c r="AG9" s="264"/>
      <c r="AH9" s="14"/>
    </row>
    <row r="10" spans="1:53" ht="8.25" customHeight="1" thickBot="1" x14ac:dyDescent="0.25">
      <c r="K10" s="3"/>
      <c r="L10" s="3"/>
      <c r="M10" s="3"/>
      <c r="N10" s="3"/>
      <c r="O10" s="3"/>
      <c r="P10" s="3"/>
      <c r="Q10" s="3"/>
      <c r="R10" s="3"/>
      <c r="S10" s="3"/>
      <c r="T10" s="3"/>
      <c r="U10" s="3"/>
      <c r="V10" s="3"/>
      <c r="W10" s="3"/>
      <c r="X10" s="3"/>
      <c r="Y10" s="3"/>
      <c r="Z10" s="3"/>
      <c r="AA10" s="3"/>
      <c r="AB10" s="3"/>
      <c r="AC10" s="3"/>
      <c r="AD10" s="265"/>
      <c r="AE10" s="266"/>
      <c r="AF10" s="266"/>
      <c r="AG10" s="267"/>
      <c r="AH10" s="14"/>
    </row>
    <row r="11" spans="1:53" ht="5.25" customHeight="1" x14ac:dyDescent="0.2">
      <c r="K11" s="3"/>
      <c r="L11" s="3"/>
      <c r="M11" s="3"/>
      <c r="N11" s="3"/>
      <c r="O11" s="3"/>
      <c r="P11" s="3"/>
      <c r="Q11" s="3"/>
      <c r="R11" s="3"/>
      <c r="S11" s="3"/>
      <c r="T11" s="3"/>
      <c r="U11" s="3"/>
      <c r="V11" s="3"/>
      <c r="W11" s="3"/>
      <c r="X11" s="3"/>
      <c r="Y11" s="3"/>
      <c r="Z11" s="3"/>
      <c r="AA11" s="3"/>
      <c r="AB11" s="3"/>
      <c r="AC11" s="3"/>
      <c r="AD11" s="7"/>
      <c r="AE11" s="7"/>
      <c r="AF11" s="7"/>
      <c r="AG11" s="14"/>
      <c r="AH11" s="14"/>
    </row>
    <row r="12" spans="1:53" ht="12.75" x14ac:dyDescent="0.2">
      <c r="K12" s="3"/>
      <c r="L12" s="3"/>
      <c r="M12" s="3"/>
      <c r="N12" s="3"/>
      <c r="O12" s="3"/>
      <c r="P12" s="3"/>
      <c r="Q12" s="3"/>
      <c r="R12" s="3"/>
      <c r="S12" s="3"/>
      <c r="T12" s="3"/>
      <c r="U12" s="3"/>
      <c r="V12" s="3"/>
      <c r="W12" s="3"/>
      <c r="X12" s="3"/>
      <c r="Y12" s="3"/>
      <c r="Z12" s="3"/>
      <c r="AA12" s="3"/>
      <c r="AB12" s="3"/>
      <c r="AC12" s="3"/>
      <c r="AD12" s="7"/>
      <c r="AE12" s="7"/>
      <c r="AF12" s="7"/>
      <c r="AG12" s="7"/>
      <c r="AH12" s="140"/>
      <c r="AI12" s="284" t="s">
        <v>69</v>
      </c>
      <c r="AJ12" s="223"/>
      <c r="AK12" s="223"/>
      <c r="AL12" s="223"/>
      <c r="AM12" s="223"/>
      <c r="AN12" s="223"/>
      <c r="AO12" s="224"/>
      <c r="AP12" s="283" t="s">
        <v>70</v>
      </c>
      <c r="AQ12" s="223"/>
      <c r="AR12" s="223"/>
      <c r="AS12" s="223"/>
      <c r="AT12" s="223"/>
      <c r="AU12" s="223"/>
      <c r="AV12" s="224"/>
      <c r="AW12" s="222" t="s">
        <v>71</v>
      </c>
      <c r="AX12" s="223"/>
      <c r="AY12" s="223"/>
      <c r="AZ12" s="223"/>
      <c r="BA12" s="224"/>
    </row>
    <row r="13" spans="1:53" ht="12.75" x14ac:dyDescent="0.2">
      <c r="K13" s="3"/>
      <c r="L13" s="3"/>
      <c r="M13" s="3"/>
      <c r="N13" s="3"/>
      <c r="O13" s="3"/>
      <c r="P13" s="3"/>
      <c r="Q13" s="3"/>
      <c r="R13" s="3"/>
      <c r="S13" s="3"/>
      <c r="T13" s="3"/>
      <c r="U13" s="3"/>
      <c r="V13" s="3"/>
      <c r="W13" s="3"/>
      <c r="X13" s="3"/>
      <c r="Y13" s="3"/>
      <c r="Z13" s="3"/>
      <c r="AA13" s="3"/>
      <c r="AB13" s="3"/>
      <c r="AC13" s="3"/>
      <c r="AD13" s="7"/>
      <c r="AE13" s="7"/>
      <c r="AF13" s="7"/>
      <c r="AG13" s="25" t="s">
        <v>72</v>
      </c>
      <c r="AH13" s="14"/>
      <c r="AI13" s="199" t="s">
        <v>86</v>
      </c>
      <c r="AJ13" s="199" t="s">
        <v>86</v>
      </c>
      <c r="AK13" s="199" t="s">
        <v>86</v>
      </c>
      <c r="AL13" s="199" t="s">
        <v>86</v>
      </c>
      <c r="AM13" s="199" t="s">
        <v>86</v>
      </c>
      <c r="AN13" s="199" t="s">
        <v>86</v>
      </c>
      <c r="AO13" s="199" t="s">
        <v>86</v>
      </c>
      <c r="AP13" s="199" t="s">
        <v>73</v>
      </c>
      <c r="AQ13" s="199" t="s">
        <v>73</v>
      </c>
      <c r="AR13" s="199" t="s">
        <v>73</v>
      </c>
      <c r="AS13" s="199" t="s">
        <v>73</v>
      </c>
      <c r="AT13" s="199" t="s">
        <v>73</v>
      </c>
      <c r="AU13" s="199" t="s">
        <v>73</v>
      </c>
      <c r="AV13" s="199" t="s">
        <v>73</v>
      </c>
      <c r="AW13" s="199" t="s">
        <v>86</v>
      </c>
      <c r="AX13" s="199" t="s">
        <v>86</v>
      </c>
      <c r="AY13" s="199" t="s">
        <v>86</v>
      </c>
      <c r="AZ13" s="199" t="s">
        <v>86</v>
      </c>
      <c r="BA13" s="199" t="s">
        <v>86</v>
      </c>
    </row>
    <row r="14" spans="1:53" ht="12.75" x14ac:dyDescent="0.2">
      <c r="K14" s="3"/>
      <c r="L14" s="3"/>
      <c r="M14" s="3"/>
      <c r="N14" s="3"/>
      <c r="O14" s="3"/>
      <c r="P14" s="3"/>
      <c r="Q14" s="3"/>
      <c r="R14" s="3"/>
      <c r="S14" s="3"/>
      <c r="T14" s="3"/>
      <c r="U14" s="3"/>
      <c r="V14" s="3"/>
      <c r="W14" s="3"/>
      <c r="X14" s="3"/>
      <c r="Y14" s="3"/>
      <c r="Z14" s="3"/>
      <c r="AA14" s="3"/>
      <c r="AB14" s="3"/>
      <c r="AC14" s="3"/>
      <c r="AD14" s="7"/>
      <c r="AE14" s="7"/>
      <c r="AF14" s="7"/>
      <c r="AG14" s="25" t="s">
        <v>161</v>
      </c>
      <c r="AH14" s="14"/>
      <c r="AI14" s="158" t="s">
        <v>2795</v>
      </c>
      <c r="AJ14" s="158" t="s">
        <v>2797</v>
      </c>
      <c r="AK14" s="158" t="s">
        <v>2798</v>
      </c>
      <c r="AL14" s="158" t="s">
        <v>2795</v>
      </c>
      <c r="AM14" s="158" t="s">
        <v>2797</v>
      </c>
      <c r="AN14" s="158" t="s">
        <v>2799</v>
      </c>
      <c r="AO14" s="158" t="s">
        <v>3417</v>
      </c>
      <c r="AP14" s="158" t="s">
        <v>4802</v>
      </c>
      <c r="AQ14" s="158" t="s">
        <v>4803</v>
      </c>
      <c r="AR14" s="158" t="s">
        <v>4804</v>
      </c>
      <c r="AS14" s="158" t="s">
        <v>4805</v>
      </c>
      <c r="AT14" s="158" t="s">
        <v>4806</v>
      </c>
      <c r="AU14" s="158" t="s">
        <v>4807</v>
      </c>
      <c r="AV14" s="158" t="s">
        <v>4808</v>
      </c>
      <c r="AW14" s="158" t="s">
        <v>2800</v>
      </c>
      <c r="AX14" s="158" t="s">
        <v>2802</v>
      </c>
      <c r="AY14" s="158" t="s">
        <v>2800</v>
      </c>
      <c r="AZ14" s="158" t="s">
        <v>2802</v>
      </c>
      <c r="BA14" s="158" t="s">
        <v>2800</v>
      </c>
    </row>
    <row r="15" spans="1:53" ht="12.75" x14ac:dyDescent="0.2">
      <c r="K15" s="3"/>
      <c r="L15" s="3"/>
      <c r="M15" s="3"/>
      <c r="N15" s="3"/>
      <c r="O15" s="3"/>
      <c r="P15" s="3"/>
      <c r="Q15" s="3"/>
      <c r="R15" s="3"/>
      <c r="S15" s="3"/>
      <c r="T15" s="3"/>
      <c r="U15" s="3"/>
      <c r="V15" s="3"/>
      <c r="W15" s="3"/>
      <c r="X15" s="3"/>
      <c r="Y15" s="3"/>
      <c r="Z15" s="3"/>
      <c r="AA15" s="3"/>
      <c r="AB15" s="3"/>
      <c r="AC15" s="3"/>
      <c r="AD15" s="7"/>
      <c r="AE15" s="7"/>
      <c r="AF15" s="7"/>
      <c r="AG15" s="25" t="s">
        <v>1661</v>
      </c>
      <c r="AH15" s="14"/>
      <c r="AI15" s="158" t="s">
        <v>116</v>
      </c>
      <c r="AJ15" s="158" t="s">
        <v>116</v>
      </c>
      <c r="AK15" s="158" t="s">
        <v>116</v>
      </c>
      <c r="AL15" s="158" t="s">
        <v>116</v>
      </c>
      <c r="AM15" s="158" t="s">
        <v>116</v>
      </c>
      <c r="AN15" s="158" t="s">
        <v>116</v>
      </c>
      <c r="AO15" s="158" t="s">
        <v>116</v>
      </c>
      <c r="AP15" s="158" t="s">
        <v>2994</v>
      </c>
      <c r="AQ15" s="158" t="s">
        <v>2994</v>
      </c>
      <c r="AR15" s="158" t="s">
        <v>2994</v>
      </c>
      <c r="AS15" s="158" t="s">
        <v>2994</v>
      </c>
      <c r="AT15" s="158" t="s">
        <v>2994</v>
      </c>
      <c r="AU15" s="158" t="s">
        <v>2994</v>
      </c>
      <c r="AV15" s="158" t="s">
        <v>2994</v>
      </c>
      <c r="AW15" s="158" t="s">
        <v>116</v>
      </c>
      <c r="AX15" s="158" t="s">
        <v>116</v>
      </c>
      <c r="AY15" s="158" t="s">
        <v>116</v>
      </c>
      <c r="AZ15" s="158" t="s">
        <v>116</v>
      </c>
      <c r="BA15" s="158" t="s">
        <v>116</v>
      </c>
    </row>
    <row r="16" spans="1:53" ht="12.75" x14ac:dyDescent="0.2">
      <c r="K16" s="3"/>
      <c r="L16" s="3"/>
      <c r="M16" s="3"/>
      <c r="N16" s="3"/>
      <c r="O16" s="3"/>
      <c r="P16" s="3"/>
      <c r="Q16" s="3"/>
      <c r="R16" s="3"/>
      <c r="S16" s="3"/>
      <c r="T16" s="3"/>
      <c r="U16" s="3"/>
      <c r="V16" s="3"/>
      <c r="W16" s="3"/>
      <c r="X16" s="3"/>
      <c r="Y16" s="3"/>
      <c r="Z16" s="3"/>
      <c r="AA16" s="3"/>
      <c r="AB16" s="3"/>
      <c r="AC16" s="3"/>
      <c r="AD16" s="7"/>
      <c r="AE16" s="7"/>
      <c r="AF16" s="7"/>
      <c r="AG16" s="25" t="s">
        <v>163</v>
      </c>
      <c r="AH16" s="14"/>
      <c r="AI16" s="158" t="s">
        <v>2796</v>
      </c>
      <c r="AJ16" s="158" t="s">
        <v>2796</v>
      </c>
      <c r="AK16" s="158" t="s">
        <v>2796</v>
      </c>
      <c r="AL16" s="158" t="s">
        <v>2796</v>
      </c>
      <c r="AM16" s="158" t="s">
        <v>2796</v>
      </c>
      <c r="AN16" s="158" t="s">
        <v>2796</v>
      </c>
      <c r="AO16" s="158" t="s">
        <v>2796</v>
      </c>
      <c r="AP16" s="202" t="s">
        <v>4723</v>
      </c>
      <c r="AQ16" s="202" t="s">
        <v>4728</v>
      </c>
      <c r="AR16" s="202" t="s">
        <v>4718</v>
      </c>
      <c r="AS16" s="202" t="s">
        <v>4739</v>
      </c>
      <c r="AT16" s="202" t="s">
        <v>4744</v>
      </c>
      <c r="AU16" s="202" t="s">
        <v>4734</v>
      </c>
      <c r="AV16" s="202"/>
      <c r="AW16" s="158" t="s">
        <v>2801</v>
      </c>
      <c r="AX16" s="158" t="s">
        <v>2801</v>
      </c>
      <c r="AY16" s="158" t="s">
        <v>2801</v>
      </c>
      <c r="AZ16" s="158" t="s">
        <v>2801</v>
      </c>
      <c r="BA16" s="158" t="s">
        <v>2801</v>
      </c>
    </row>
    <row r="17" spans="11:53" ht="12.75" x14ac:dyDescent="0.2">
      <c r="K17" s="3"/>
      <c r="L17" s="3"/>
      <c r="M17" s="3"/>
      <c r="N17" s="3"/>
      <c r="O17" s="3"/>
      <c r="P17" s="3"/>
      <c r="Q17" s="3"/>
      <c r="R17" s="3"/>
      <c r="S17" s="3"/>
      <c r="T17" s="3"/>
      <c r="U17" s="3"/>
      <c r="V17" s="3"/>
      <c r="W17" s="3"/>
      <c r="X17" s="3"/>
      <c r="Y17" s="3"/>
      <c r="Z17" s="3"/>
      <c r="AA17" s="3"/>
      <c r="AB17" s="3"/>
      <c r="AC17" s="3"/>
      <c r="AD17" s="7"/>
      <c r="AE17" s="7"/>
      <c r="AF17" s="7"/>
      <c r="AG17" s="25" t="s">
        <v>164</v>
      </c>
      <c r="AH17" s="14"/>
      <c r="AI17" s="158" t="s">
        <v>345</v>
      </c>
      <c r="AJ17" s="158" t="s">
        <v>345</v>
      </c>
      <c r="AK17" s="158" t="s">
        <v>345</v>
      </c>
      <c r="AL17" s="158" t="s">
        <v>344</v>
      </c>
      <c r="AM17" s="158" t="s">
        <v>344</v>
      </c>
      <c r="AN17" s="158" t="s">
        <v>344</v>
      </c>
      <c r="AO17" s="158" t="s">
        <v>346</v>
      </c>
      <c r="AP17" s="158" t="s">
        <v>589</v>
      </c>
      <c r="AQ17" s="158" t="s">
        <v>589</v>
      </c>
      <c r="AR17" s="158" t="s">
        <v>589</v>
      </c>
      <c r="AS17" s="158" t="s">
        <v>589</v>
      </c>
      <c r="AT17" s="158" t="s">
        <v>589</v>
      </c>
      <c r="AU17" s="158" t="s">
        <v>589</v>
      </c>
      <c r="AV17" s="158" t="s">
        <v>589</v>
      </c>
      <c r="AW17" s="158" t="s">
        <v>345</v>
      </c>
      <c r="AX17" s="158" t="s">
        <v>345</v>
      </c>
      <c r="AY17" s="158" t="s">
        <v>344</v>
      </c>
      <c r="AZ17" s="158" t="s">
        <v>344</v>
      </c>
      <c r="BA17" s="158" t="s">
        <v>346</v>
      </c>
    </row>
    <row r="18" spans="11:53" ht="12.75" x14ac:dyDescent="0.2">
      <c r="K18" s="3"/>
      <c r="L18" s="3"/>
      <c r="M18" s="3"/>
      <c r="N18" s="3"/>
      <c r="O18" s="3"/>
      <c r="P18" s="3"/>
      <c r="Q18" s="3"/>
      <c r="R18" s="3"/>
      <c r="S18" s="3"/>
      <c r="T18" s="3"/>
      <c r="U18" s="3"/>
      <c r="V18" s="3"/>
      <c r="W18" s="3"/>
      <c r="X18" s="3"/>
      <c r="Y18" s="3"/>
      <c r="Z18" s="3"/>
      <c r="AA18" s="3"/>
      <c r="AB18" s="3"/>
      <c r="AC18" s="3"/>
      <c r="AD18" s="7"/>
      <c r="AE18" s="7"/>
      <c r="AF18" s="13"/>
      <c r="AG18" s="25" t="s">
        <v>166</v>
      </c>
      <c r="AH18" s="14"/>
      <c r="AI18" s="158" t="s">
        <v>92</v>
      </c>
      <c r="AJ18" s="158" t="s">
        <v>92</v>
      </c>
      <c r="AK18" s="158" t="s">
        <v>92</v>
      </c>
      <c r="AL18" s="158" t="s">
        <v>91</v>
      </c>
      <c r="AM18" s="158" t="s">
        <v>91</v>
      </c>
      <c r="AN18" s="158" t="s">
        <v>91</v>
      </c>
      <c r="AO18" s="158" t="s">
        <v>77</v>
      </c>
      <c r="AP18" s="158" t="s">
        <v>57</v>
      </c>
      <c r="AQ18" s="158" t="s">
        <v>57</v>
      </c>
      <c r="AR18" s="158" t="s">
        <v>57</v>
      </c>
      <c r="AS18" s="158" t="s">
        <v>57</v>
      </c>
      <c r="AT18" s="158" t="s">
        <v>57</v>
      </c>
      <c r="AU18" s="158" t="s">
        <v>57</v>
      </c>
      <c r="AV18" s="158" t="s">
        <v>57</v>
      </c>
      <c r="AW18" s="158" t="s">
        <v>92</v>
      </c>
      <c r="AX18" s="158" t="s">
        <v>92</v>
      </c>
      <c r="AY18" s="158" t="s">
        <v>91</v>
      </c>
      <c r="AZ18" s="158" t="s">
        <v>91</v>
      </c>
      <c r="BA18" s="158" t="s">
        <v>77</v>
      </c>
    </row>
    <row r="19" spans="11:53" ht="12.75" x14ac:dyDescent="0.2">
      <c r="K19" s="3"/>
      <c r="L19" s="3"/>
      <c r="M19" s="3"/>
      <c r="N19" s="3"/>
      <c r="O19" s="3"/>
      <c r="P19" s="3"/>
      <c r="Q19" s="3"/>
      <c r="R19" s="3"/>
      <c r="S19" s="3"/>
      <c r="T19" s="3"/>
      <c r="U19" s="3"/>
      <c r="V19" s="3"/>
      <c r="W19" s="3"/>
      <c r="X19" s="3"/>
      <c r="Y19" s="3"/>
      <c r="Z19" s="3"/>
      <c r="AA19" s="3"/>
      <c r="AB19" s="3"/>
      <c r="AC19" s="3"/>
      <c r="AD19" s="7"/>
      <c r="AE19" s="7"/>
      <c r="AF19" s="13"/>
      <c r="AG19" s="25" t="s">
        <v>1660</v>
      </c>
      <c r="AH19" s="14"/>
      <c r="AI19" s="201"/>
      <c r="AJ19" s="201"/>
      <c r="AK19" s="201"/>
      <c r="AL19" s="201"/>
      <c r="AM19" s="201"/>
      <c r="AN19" s="201"/>
      <c r="AO19" s="201"/>
      <c r="AP19" s="201" t="s">
        <v>2994</v>
      </c>
      <c r="AQ19" s="201" t="s">
        <v>2994</v>
      </c>
      <c r="AR19" s="201" t="s">
        <v>2994</v>
      </c>
      <c r="AS19" s="201" t="s">
        <v>2994</v>
      </c>
      <c r="AT19" s="201" t="s">
        <v>2994</v>
      </c>
      <c r="AU19" s="201" t="s">
        <v>2994</v>
      </c>
      <c r="AV19" s="201" t="s">
        <v>2994</v>
      </c>
      <c r="AW19" s="201"/>
      <c r="AX19" s="201"/>
      <c r="AY19" s="201"/>
      <c r="AZ19" s="201"/>
      <c r="BA19" s="201"/>
    </row>
    <row r="20" spans="11:53" ht="12.75" hidden="1" x14ac:dyDescent="0.2">
      <c r="K20" s="3"/>
      <c r="L20" s="3"/>
      <c r="M20" s="3"/>
      <c r="N20" s="3"/>
      <c r="O20" s="3"/>
      <c r="P20" s="3"/>
      <c r="Q20" s="3"/>
      <c r="R20" s="3"/>
      <c r="S20" s="3"/>
      <c r="T20" s="3"/>
      <c r="U20" s="3"/>
      <c r="V20" s="3"/>
      <c r="W20" s="3"/>
      <c r="X20" s="3"/>
      <c r="Y20" s="3"/>
      <c r="Z20" s="3"/>
      <c r="AA20" s="3"/>
      <c r="AB20" s="3"/>
      <c r="AC20" s="3"/>
      <c r="AD20" s="7"/>
      <c r="AE20" s="7"/>
      <c r="AF20" s="13"/>
      <c r="AG20" s="24" t="s">
        <v>165</v>
      </c>
      <c r="AH20" s="14"/>
    </row>
    <row r="21" spans="11:53" ht="12.75" hidden="1" x14ac:dyDescent="0.2">
      <c r="K21" s="3"/>
      <c r="L21" s="3"/>
      <c r="M21" s="3"/>
      <c r="N21" s="3"/>
      <c r="O21" s="3"/>
      <c r="P21" s="3"/>
      <c r="Q21" s="3"/>
      <c r="R21" s="3"/>
      <c r="S21" s="3"/>
      <c r="T21" s="3"/>
      <c r="U21" s="3"/>
      <c r="V21" s="3"/>
      <c r="W21" s="3"/>
      <c r="X21" s="3"/>
      <c r="Y21" s="3"/>
      <c r="Z21" s="3"/>
      <c r="AA21" s="3"/>
      <c r="AB21" s="3"/>
      <c r="AC21" s="3"/>
      <c r="AD21" s="7"/>
      <c r="AE21" s="7"/>
      <c r="AF21" s="14" t="s">
        <v>122</v>
      </c>
      <c r="AG21" s="14" t="s">
        <v>105</v>
      </c>
      <c r="AH21" s="14"/>
      <c r="AP21" s="2">
        <v>67401001</v>
      </c>
      <c r="AQ21" s="2">
        <v>67401002</v>
      </c>
      <c r="AR21" s="2">
        <v>67401003</v>
      </c>
      <c r="AS21" s="2">
        <v>67401004</v>
      </c>
      <c r="AT21" s="2">
        <v>67401005</v>
      </c>
      <c r="AU21" s="2">
        <v>67401006</v>
      </c>
      <c r="AV21" s="2">
        <v>67401007</v>
      </c>
    </row>
    <row r="22" spans="11:53" ht="12.75" hidden="1" x14ac:dyDescent="0.2">
      <c r="K22" s="3"/>
      <c r="L22" s="3"/>
      <c r="M22" s="3"/>
      <c r="N22" s="3"/>
      <c r="O22" s="3"/>
      <c r="P22" s="3"/>
      <c r="Q22" s="3"/>
      <c r="R22" s="3"/>
      <c r="S22" s="3"/>
      <c r="T22" s="3"/>
      <c r="U22" s="3"/>
      <c r="V22" s="3"/>
      <c r="W22" s="3"/>
      <c r="X22" s="3"/>
      <c r="Y22" s="3"/>
      <c r="Z22" s="3"/>
      <c r="AA22" s="3"/>
      <c r="AB22" s="3"/>
      <c r="AC22" s="3"/>
      <c r="AD22" s="7"/>
      <c r="AE22" s="7"/>
      <c r="AF22" s="14" t="s">
        <v>123</v>
      </c>
      <c r="AG22" s="12" t="s">
        <v>107</v>
      </c>
      <c r="AH22" s="14"/>
      <c r="AP22" s="2">
        <v>1154</v>
      </c>
      <c r="AQ22" s="2">
        <v>1154</v>
      </c>
      <c r="AR22" s="2">
        <v>1154</v>
      </c>
      <c r="AS22" s="2">
        <v>1154</v>
      </c>
      <c r="AT22" s="2">
        <v>1154</v>
      </c>
      <c r="AU22" s="2">
        <v>1154</v>
      </c>
      <c r="AV22" s="2">
        <v>1154</v>
      </c>
    </row>
    <row r="23" spans="11:53" ht="12.75" hidden="1" x14ac:dyDescent="0.2">
      <c r="K23" s="3"/>
      <c r="L23" s="3"/>
      <c r="M23" s="3"/>
      <c r="N23" s="3"/>
      <c r="O23" s="3"/>
      <c r="P23" s="3"/>
      <c r="Q23" s="3"/>
      <c r="R23" s="3"/>
      <c r="S23" s="3"/>
      <c r="T23" s="3"/>
      <c r="U23" s="3"/>
      <c r="V23" s="3"/>
      <c r="W23" s="3"/>
      <c r="X23" s="3"/>
      <c r="Y23" s="3"/>
      <c r="Z23" s="3"/>
      <c r="AA23" s="3"/>
      <c r="AB23" s="3"/>
      <c r="AC23" s="3"/>
      <c r="AD23" s="7"/>
      <c r="AE23" s="7"/>
      <c r="AF23" s="14" t="s">
        <v>124</v>
      </c>
      <c r="AG23" s="12" t="s">
        <v>169</v>
      </c>
      <c r="AH23" s="14"/>
      <c r="AP23" s="2" t="s">
        <v>4346</v>
      </c>
      <c r="AQ23" s="2" t="s">
        <v>4346</v>
      </c>
      <c r="AR23" s="2" t="s">
        <v>4346</v>
      </c>
      <c r="AS23" s="2" t="s">
        <v>4346</v>
      </c>
      <c r="AT23" s="2" t="s">
        <v>4346</v>
      </c>
      <c r="AU23" s="2" t="s">
        <v>4346</v>
      </c>
      <c r="AV23" s="2" t="s">
        <v>4346</v>
      </c>
    </row>
    <row r="24" spans="11:53" ht="12.75" hidden="1" x14ac:dyDescent="0.2">
      <c r="K24" s="3"/>
      <c r="L24" s="3"/>
      <c r="M24" s="3"/>
      <c r="N24" s="3"/>
      <c r="O24" s="3"/>
      <c r="P24" s="3"/>
      <c r="Q24" s="3"/>
      <c r="R24" s="3"/>
      <c r="S24" s="3"/>
      <c r="T24" s="3"/>
      <c r="U24" s="3"/>
      <c r="V24" s="3"/>
      <c r="W24" s="3"/>
      <c r="X24" s="3"/>
      <c r="Y24" s="3"/>
      <c r="Z24" s="3"/>
      <c r="AA24" s="3"/>
      <c r="AB24" s="3"/>
      <c r="AC24" s="3"/>
      <c r="AD24" s="7"/>
      <c r="AE24" s="7"/>
      <c r="AF24" s="14" t="s">
        <v>125</v>
      </c>
      <c r="AG24" s="14" t="s">
        <v>106</v>
      </c>
      <c r="AH24" s="14"/>
      <c r="AP24" s="2">
        <v>1055813</v>
      </c>
      <c r="AQ24" s="2">
        <v>1055814</v>
      </c>
      <c r="AR24" s="2">
        <v>1055815</v>
      </c>
      <c r="AS24" s="2">
        <v>1055816</v>
      </c>
      <c r="AT24" s="2">
        <v>1055817</v>
      </c>
      <c r="AU24" s="2">
        <v>1055818</v>
      </c>
      <c r="AV24" s="2">
        <v>1055819</v>
      </c>
    </row>
    <row r="25" spans="11:53" ht="12.75" hidden="1" x14ac:dyDescent="0.2">
      <c r="K25" s="3"/>
      <c r="L25" s="3"/>
      <c r="M25" s="3"/>
      <c r="N25" s="3"/>
      <c r="O25" s="3"/>
      <c r="P25" s="3"/>
      <c r="Q25" s="3"/>
      <c r="R25" s="3"/>
      <c r="S25" s="3"/>
      <c r="T25" s="3"/>
      <c r="U25" s="3"/>
      <c r="V25" s="3"/>
      <c r="W25" s="3"/>
      <c r="X25" s="3"/>
      <c r="Y25" s="3"/>
      <c r="Z25" s="3"/>
      <c r="AA25" s="3"/>
      <c r="AB25" s="3"/>
      <c r="AC25" s="3"/>
      <c r="AD25" s="7"/>
      <c r="AE25" s="7"/>
      <c r="AF25" s="14" t="s">
        <v>126</v>
      </c>
      <c r="AG25" s="14" t="s">
        <v>320</v>
      </c>
      <c r="AH25" s="14"/>
    </row>
    <row r="26" spans="11:53" ht="12.75" hidden="1" x14ac:dyDescent="0.2">
      <c r="K26" s="3"/>
      <c r="L26" s="3"/>
      <c r="M26" s="3"/>
      <c r="N26" s="3"/>
      <c r="O26" s="3"/>
      <c r="P26" s="3"/>
      <c r="Q26" s="3"/>
      <c r="R26" s="3"/>
      <c r="S26" s="3"/>
      <c r="T26" s="3"/>
      <c r="U26" s="3"/>
      <c r="V26" s="3"/>
      <c r="W26" s="3"/>
      <c r="X26" s="3"/>
      <c r="Y26" s="3"/>
      <c r="Z26" s="3"/>
      <c r="AA26" s="3"/>
      <c r="AB26" s="3"/>
      <c r="AC26" s="3"/>
      <c r="AD26" s="7"/>
      <c r="AE26" s="7"/>
      <c r="AF26" s="14" t="s">
        <v>127</v>
      </c>
      <c r="AG26" s="14" t="s">
        <v>179</v>
      </c>
      <c r="AH26" s="14"/>
      <c r="AP26" s="2">
        <v>31901</v>
      </c>
      <c r="AQ26" s="2">
        <v>31902</v>
      </c>
      <c r="AR26" s="2">
        <v>31903</v>
      </c>
      <c r="AS26" s="2">
        <v>31904</v>
      </c>
      <c r="AT26" s="2">
        <v>31905</v>
      </c>
      <c r="AU26" s="2">
        <v>31906</v>
      </c>
    </row>
    <row r="27" spans="11:53" ht="12.75" hidden="1" x14ac:dyDescent="0.2">
      <c r="K27" s="3"/>
      <c r="L27" s="3"/>
      <c r="M27" s="3"/>
      <c r="N27" s="3"/>
      <c r="O27" s="3"/>
      <c r="P27" s="3"/>
      <c r="Q27" s="3"/>
      <c r="R27" s="3"/>
      <c r="S27" s="3"/>
      <c r="T27" s="3"/>
      <c r="U27" s="3"/>
      <c r="V27" s="3"/>
      <c r="W27" s="3"/>
      <c r="X27" s="3"/>
      <c r="Y27" s="3"/>
      <c r="Z27" s="3"/>
      <c r="AA27" s="3"/>
      <c r="AB27" s="3"/>
      <c r="AC27" s="3"/>
      <c r="AD27" s="7"/>
      <c r="AE27" s="7"/>
      <c r="AF27" s="14" t="s">
        <v>128</v>
      </c>
      <c r="AG27" s="14" t="s">
        <v>280</v>
      </c>
      <c r="AH27" s="14"/>
      <c r="AP27" s="2">
        <v>12</v>
      </c>
      <c r="AQ27" s="2">
        <v>12</v>
      </c>
      <c r="AR27" s="2">
        <v>12</v>
      </c>
      <c r="AS27" s="2">
        <v>12</v>
      </c>
      <c r="AT27" s="2">
        <v>12</v>
      </c>
      <c r="AU27" s="2">
        <v>12</v>
      </c>
      <c r="AV27" s="2">
        <v>12</v>
      </c>
    </row>
    <row r="28" spans="11:53" ht="12.75" hidden="1" x14ac:dyDescent="0.2">
      <c r="K28" s="3"/>
      <c r="L28" s="3"/>
      <c r="M28" s="3"/>
      <c r="N28" s="3"/>
      <c r="O28" s="3"/>
      <c r="P28" s="3"/>
      <c r="Q28" s="3"/>
      <c r="R28" s="3"/>
      <c r="S28" s="3"/>
      <c r="T28" s="3"/>
      <c r="U28" s="3"/>
      <c r="V28" s="3"/>
      <c r="W28" s="3"/>
      <c r="X28" s="3"/>
      <c r="Y28" s="3"/>
      <c r="Z28" s="3"/>
      <c r="AA28" s="3"/>
      <c r="AB28" s="3"/>
      <c r="AC28" s="3"/>
      <c r="AD28" s="7"/>
      <c r="AE28" s="7"/>
      <c r="AF28" s="14" t="s">
        <v>129</v>
      </c>
      <c r="AG28" s="14" t="s">
        <v>298</v>
      </c>
      <c r="AH28" s="14"/>
    </row>
    <row r="29" spans="11:53" ht="12.75" hidden="1" x14ac:dyDescent="0.2">
      <c r="K29" s="3"/>
      <c r="L29" s="3"/>
      <c r="M29" s="3"/>
      <c r="N29" s="3"/>
      <c r="O29" s="3"/>
      <c r="P29" s="3"/>
      <c r="Q29" s="3"/>
      <c r="R29" s="3"/>
      <c r="S29" s="3"/>
      <c r="T29" s="3"/>
      <c r="U29" s="3"/>
      <c r="V29" s="3"/>
      <c r="W29" s="3"/>
      <c r="X29" s="3"/>
      <c r="Y29" s="3"/>
      <c r="Z29" s="3"/>
      <c r="AA29" s="3"/>
      <c r="AB29" s="3"/>
      <c r="AC29" s="3"/>
      <c r="AD29" s="7"/>
      <c r="AE29" s="7"/>
      <c r="AF29" s="14" t="s">
        <v>130</v>
      </c>
      <c r="AG29" s="14" t="s">
        <v>300</v>
      </c>
      <c r="AH29" s="14"/>
      <c r="AP29" s="2">
        <v>715</v>
      </c>
      <c r="AQ29" s="2">
        <v>715</v>
      </c>
      <c r="AR29" s="2">
        <v>715</v>
      </c>
      <c r="AS29" s="2">
        <v>715</v>
      </c>
      <c r="AT29" s="2">
        <v>715</v>
      </c>
      <c r="AU29" s="2">
        <v>715</v>
      </c>
      <c r="AV29" s="2">
        <v>715</v>
      </c>
    </row>
    <row r="30" spans="11:53" ht="12.75" hidden="1" x14ac:dyDescent="0.2">
      <c r="K30" s="3"/>
      <c r="L30" s="3"/>
      <c r="M30" s="3"/>
      <c r="N30" s="3"/>
      <c r="O30" s="3"/>
      <c r="P30" s="3"/>
      <c r="Q30" s="3"/>
      <c r="R30" s="3"/>
      <c r="S30" s="3"/>
      <c r="T30" s="3"/>
      <c r="U30" s="3"/>
      <c r="V30" s="3"/>
      <c r="W30" s="3"/>
      <c r="X30" s="3"/>
      <c r="Y30" s="3"/>
      <c r="Z30" s="3"/>
      <c r="AA30" s="3"/>
      <c r="AB30" s="3"/>
      <c r="AC30" s="3"/>
      <c r="AD30" s="7"/>
      <c r="AE30" s="7"/>
      <c r="AF30" s="14" t="s">
        <v>131</v>
      </c>
      <c r="AG30" s="12" t="s">
        <v>609</v>
      </c>
      <c r="AH30" s="12"/>
      <c r="AI30" s="2" t="s">
        <v>321</v>
      </c>
      <c r="AJ30" s="2" t="s">
        <v>321</v>
      </c>
      <c r="AK30" s="2" t="s">
        <v>321</v>
      </c>
      <c r="AL30" s="2" t="s">
        <v>321</v>
      </c>
      <c r="AM30" s="2" t="s">
        <v>321</v>
      </c>
      <c r="AN30" s="2" t="s">
        <v>321</v>
      </c>
      <c r="AO30" s="2" t="s">
        <v>321</v>
      </c>
      <c r="AP30" s="2" t="s">
        <v>99</v>
      </c>
      <c r="AQ30" s="2" t="s">
        <v>99</v>
      </c>
      <c r="AR30" s="2" t="s">
        <v>99</v>
      </c>
      <c r="AS30" s="2" t="s">
        <v>99</v>
      </c>
      <c r="AT30" s="2" t="s">
        <v>99</v>
      </c>
      <c r="AU30" s="2" t="s">
        <v>99</v>
      </c>
      <c r="AV30" s="2" t="s">
        <v>359</v>
      </c>
      <c r="AW30" s="2" t="s">
        <v>322</v>
      </c>
      <c r="AX30" s="2" t="s">
        <v>322</v>
      </c>
      <c r="AY30" s="2" t="s">
        <v>322</v>
      </c>
      <c r="AZ30" s="2" t="s">
        <v>322</v>
      </c>
      <c r="BA30" s="2" t="s">
        <v>322</v>
      </c>
    </row>
    <row r="31" spans="11:53" ht="12.75" hidden="1" x14ac:dyDescent="0.2">
      <c r="K31" s="3"/>
      <c r="L31" s="3"/>
      <c r="M31" s="3"/>
      <c r="N31" s="3"/>
      <c r="O31" s="3"/>
      <c r="P31" s="3"/>
      <c r="Q31" s="3"/>
      <c r="R31" s="3"/>
      <c r="S31" s="3"/>
      <c r="T31" s="3"/>
      <c r="U31" s="3"/>
      <c r="V31" s="3"/>
      <c r="W31" s="3"/>
      <c r="X31" s="3"/>
      <c r="Y31" s="3"/>
      <c r="Z31" s="3"/>
      <c r="AA31" s="3"/>
      <c r="AB31" s="3"/>
      <c r="AC31" s="3"/>
      <c r="AD31" s="7"/>
      <c r="AE31" s="7"/>
      <c r="AF31" s="14" t="s">
        <v>132</v>
      </c>
      <c r="AG31" s="12" t="s">
        <v>333</v>
      </c>
      <c r="AH31" s="12"/>
    </row>
    <row r="32" spans="11:53" ht="12.75" hidden="1" x14ac:dyDescent="0.2">
      <c r="K32" s="3"/>
      <c r="L32" s="3"/>
      <c r="M32" s="3"/>
      <c r="N32" s="3"/>
      <c r="O32" s="3"/>
      <c r="P32" s="3"/>
      <c r="Q32" s="3"/>
      <c r="R32" s="3"/>
      <c r="S32" s="3"/>
      <c r="T32" s="3"/>
      <c r="U32" s="3"/>
      <c r="V32" s="3"/>
      <c r="W32" s="3"/>
      <c r="X32" s="3"/>
      <c r="Y32" s="3"/>
      <c r="Z32" s="3"/>
      <c r="AA32" s="3"/>
      <c r="AB32" s="3"/>
      <c r="AC32" s="3"/>
      <c r="AD32" s="7"/>
      <c r="AE32" s="7"/>
      <c r="AF32" s="14" t="s">
        <v>133</v>
      </c>
      <c r="AG32" s="14" t="s">
        <v>1657</v>
      </c>
      <c r="AH32" s="13"/>
      <c r="AP32" s="2">
        <v>40875</v>
      </c>
      <c r="AQ32" s="2">
        <v>40875</v>
      </c>
      <c r="AR32" s="2">
        <v>40875</v>
      </c>
      <c r="AS32" s="2">
        <v>40875</v>
      </c>
      <c r="AT32" s="2">
        <v>40875</v>
      </c>
      <c r="AU32" s="2">
        <v>40875</v>
      </c>
      <c r="AV32" s="2">
        <v>40875</v>
      </c>
    </row>
    <row r="33" spans="1:53" ht="12.75" customHeight="1" x14ac:dyDescent="0.2">
      <c r="A33" s="15" t="s">
        <v>118</v>
      </c>
      <c r="B33" s="15" t="s">
        <v>120</v>
      </c>
      <c r="C33" s="15" t="s">
        <v>136</v>
      </c>
      <c r="D33" s="15" t="s">
        <v>119</v>
      </c>
      <c r="E33" s="15" t="s">
        <v>160</v>
      </c>
      <c r="F33" s="15" t="s">
        <v>496</v>
      </c>
      <c r="G33" s="15" t="s">
        <v>413</v>
      </c>
      <c r="H33" s="15" t="s">
        <v>311</v>
      </c>
      <c r="I33" s="15" t="s">
        <v>312</v>
      </c>
      <c r="J33" s="15" t="s">
        <v>308</v>
      </c>
      <c r="K33" s="15" t="s">
        <v>310</v>
      </c>
      <c r="L33" s="15" t="s">
        <v>81</v>
      </c>
      <c r="M33" s="15" t="s">
        <v>115</v>
      </c>
      <c r="N33" s="15" t="s">
        <v>113</v>
      </c>
      <c r="O33" s="15" t="s">
        <v>114</v>
      </c>
      <c r="P33" s="15" t="s">
        <v>309</v>
      </c>
      <c r="Q33" s="15" t="s">
        <v>82</v>
      </c>
      <c r="R33" s="15" t="s">
        <v>83</v>
      </c>
      <c r="S33" s="15" t="s">
        <v>138</v>
      </c>
      <c r="T33" s="15" t="s">
        <v>111</v>
      </c>
      <c r="U33" s="15" t="s">
        <v>110</v>
      </c>
      <c r="V33" s="15" t="s">
        <v>112</v>
      </c>
      <c r="W33" s="15" t="s">
        <v>412</v>
      </c>
      <c r="X33" s="15" t="s">
        <v>84</v>
      </c>
      <c r="Y33" s="15" t="s">
        <v>109</v>
      </c>
      <c r="Z33" s="15" t="s">
        <v>208</v>
      </c>
      <c r="AA33" s="15" t="s">
        <v>108</v>
      </c>
      <c r="AB33" s="15" t="s">
        <v>117</v>
      </c>
      <c r="AC33" s="15" t="s">
        <v>206</v>
      </c>
      <c r="AD33" s="7"/>
      <c r="AE33" s="7"/>
      <c r="AF33" s="268" t="s">
        <v>74</v>
      </c>
      <c r="AG33" s="268"/>
      <c r="AH33" s="141" t="s">
        <v>323</v>
      </c>
      <c r="AI33" s="284"/>
      <c r="AJ33" s="223"/>
      <c r="AK33" s="223"/>
      <c r="AL33" s="223"/>
      <c r="AM33" s="223"/>
      <c r="AN33" s="223"/>
      <c r="AO33" s="224"/>
      <c r="AP33" s="283"/>
      <c r="AQ33" s="223"/>
      <c r="AR33" s="223"/>
      <c r="AS33" s="223"/>
      <c r="AT33" s="223"/>
      <c r="AU33" s="223"/>
      <c r="AV33" s="224"/>
      <c r="AW33" s="222"/>
      <c r="AX33" s="223"/>
      <c r="AY33" s="223"/>
      <c r="AZ33" s="223"/>
      <c r="BA33" s="224"/>
    </row>
    <row r="34" spans="1:53" ht="11.25" hidden="1" customHeight="1" x14ac:dyDescent="0.2">
      <c r="A34" s="21">
        <v>1</v>
      </c>
      <c r="B34" s="9">
        <v>1</v>
      </c>
      <c r="C34" s="9">
        <v>1</v>
      </c>
      <c r="D34" s="9">
        <v>-1</v>
      </c>
      <c r="E34" s="9">
        <v>0</v>
      </c>
      <c r="F34" s="9"/>
      <c r="G34" s="9"/>
      <c r="H34" s="9"/>
      <c r="I34" s="9"/>
      <c r="J34" s="9"/>
      <c r="K34" s="9"/>
      <c r="L34" s="9"/>
      <c r="M34" s="9"/>
      <c r="N34" s="9"/>
      <c r="O34" s="9"/>
      <c r="P34" s="9"/>
      <c r="Q34" s="9"/>
      <c r="R34" s="9"/>
      <c r="S34" s="9"/>
      <c r="T34" s="9"/>
      <c r="U34" s="9"/>
      <c r="V34" s="9"/>
      <c r="W34" s="9"/>
      <c r="X34" s="9"/>
      <c r="Y34" s="9"/>
      <c r="Z34" s="9"/>
      <c r="AA34" s="9"/>
      <c r="AB34" s="9"/>
      <c r="AC34" s="9"/>
      <c r="AD34" s="271" t="s">
        <v>75</v>
      </c>
      <c r="AE34" s="245" t="str">
        <f>Admin!$D$3</f>
        <v>EVENT</v>
      </c>
      <c r="AF34" s="279" t="s">
        <v>151</v>
      </c>
      <c r="AG34" s="280"/>
      <c r="AH34" s="4" t="s">
        <v>4237</v>
      </c>
    </row>
    <row r="35" spans="1:53" ht="11.25" hidden="1" customHeight="1" x14ac:dyDescent="0.2">
      <c r="A35" s="21">
        <v>2</v>
      </c>
      <c r="B35" s="9">
        <v>1</v>
      </c>
      <c r="C35" s="9">
        <v>2</v>
      </c>
      <c r="D35" s="9">
        <v>-1</v>
      </c>
      <c r="E35" s="9">
        <v>0</v>
      </c>
      <c r="F35" s="9"/>
      <c r="G35" s="9"/>
      <c r="H35" s="9"/>
      <c r="I35" s="9"/>
      <c r="J35" s="9"/>
      <c r="K35" s="9"/>
      <c r="L35" s="9"/>
      <c r="M35" s="9"/>
      <c r="N35" s="9"/>
      <c r="O35" s="9"/>
      <c r="P35" s="9"/>
      <c r="Q35" s="9"/>
      <c r="R35" s="9"/>
      <c r="S35" s="9"/>
      <c r="T35" s="9"/>
      <c r="U35" s="9"/>
      <c r="V35" s="9"/>
      <c r="W35" s="9"/>
      <c r="X35" s="9"/>
      <c r="Y35" s="9"/>
      <c r="Z35" s="9"/>
      <c r="AA35" s="9"/>
      <c r="AB35" s="9"/>
      <c r="AC35" s="9"/>
      <c r="AD35" s="272"/>
      <c r="AE35" s="246"/>
      <c r="AF35" s="243" t="s">
        <v>36</v>
      </c>
      <c r="AG35" s="244"/>
      <c r="AH35" s="4" t="s">
        <v>4809</v>
      </c>
    </row>
    <row r="36" spans="1:53" ht="11.25" hidden="1" customHeight="1" x14ac:dyDescent="0.2">
      <c r="A36" s="21">
        <v>3</v>
      </c>
      <c r="B36" s="9">
        <v>1</v>
      </c>
      <c r="C36" s="9">
        <v>3</v>
      </c>
      <c r="D36" s="9">
        <v>-1</v>
      </c>
      <c r="E36" s="9">
        <v>0</v>
      </c>
      <c r="F36" s="9"/>
      <c r="G36" s="9"/>
      <c r="H36" s="9" t="s">
        <v>94</v>
      </c>
      <c r="I36" s="9" t="s">
        <v>94</v>
      </c>
      <c r="J36" s="9"/>
      <c r="K36" s="9"/>
      <c r="L36" s="9" t="s">
        <v>600</v>
      </c>
      <c r="M36" s="9" t="s">
        <v>207</v>
      </c>
      <c r="N36" s="9"/>
      <c r="O36" s="9" t="s">
        <v>3086</v>
      </c>
      <c r="P36" s="9" t="s">
        <v>207</v>
      </c>
      <c r="Q36" s="9" t="s">
        <v>594</v>
      </c>
      <c r="R36" s="9" t="s">
        <v>300</v>
      </c>
      <c r="S36" s="9">
        <v>24</v>
      </c>
      <c r="T36" s="9"/>
      <c r="U36" s="9"/>
      <c r="V36" s="9"/>
      <c r="W36" s="9"/>
      <c r="X36" s="9"/>
      <c r="Y36" s="9"/>
      <c r="Z36" s="9"/>
      <c r="AA36" s="9"/>
      <c r="AB36" s="9"/>
      <c r="AC36" s="9"/>
      <c r="AD36" s="272"/>
      <c r="AE36" s="246"/>
      <c r="AF36" s="243" t="s">
        <v>152</v>
      </c>
      <c r="AG36" s="244"/>
      <c r="AH36" s="4" t="s">
        <v>16</v>
      </c>
    </row>
    <row r="37" spans="1:53" ht="11.25" hidden="1" customHeight="1" x14ac:dyDescent="0.2">
      <c r="A37" s="21">
        <v>4</v>
      </c>
      <c r="B37" s="9">
        <v>1</v>
      </c>
      <c r="C37" s="9">
        <v>4</v>
      </c>
      <c r="D37" s="9">
        <v>-1</v>
      </c>
      <c r="E37" s="9">
        <v>0</v>
      </c>
      <c r="F37" s="9"/>
      <c r="G37" s="9"/>
      <c r="H37" s="9"/>
      <c r="I37" s="9"/>
      <c r="J37" s="9"/>
      <c r="K37" s="9"/>
      <c r="L37" s="9" t="s">
        <v>103</v>
      </c>
      <c r="M37" s="9" t="s">
        <v>207</v>
      </c>
      <c r="N37" s="9"/>
      <c r="O37" s="9" t="s">
        <v>3086</v>
      </c>
      <c r="P37" s="9"/>
      <c r="Q37" s="9"/>
      <c r="R37" s="9"/>
      <c r="S37" s="9">
        <v>24</v>
      </c>
      <c r="T37" s="9" t="s">
        <v>95</v>
      </c>
      <c r="U37" s="9" t="s">
        <v>610</v>
      </c>
      <c r="V37" s="9">
        <v>1</v>
      </c>
      <c r="W37" s="9"/>
      <c r="X37" s="9"/>
      <c r="Y37" s="9"/>
      <c r="Z37" s="9"/>
      <c r="AA37" s="9"/>
      <c r="AB37" s="9"/>
      <c r="AC37" s="9"/>
      <c r="AD37" s="272"/>
      <c r="AE37" s="246"/>
      <c r="AF37" s="243" t="s">
        <v>153</v>
      </c>
      <c r="AG37" s="244"/>
      <c r="AH37" s="4">
        <v>627</v>
      </c>
    </row>
    <row r="38" spans="1:53" ht="11.25" hidden="1" customHeight="1" x14ac:dyDescent="0.2">
      <c r="A38" s="21">
        <v>5</v>
      </c>
      <c r="B38" s="9">
        <v>1</v>
      </c>
      <c r="C38" s="9">
        <v>5</v>
      </c>
      <c r="D38" s="9">
        <v>-1</v>
      </c>
      <c r="E38" s="9">
        <v>0</v>
      </c>
      <c r="F38" s="9"/>
      <c r="G38" s="9"/>
      <c r="H38" s="9"/>
      <c r="I38" s="9"/>
      <c r="J38" s="9"/>
      <c r="K38" s="9"/>
      <c r="L38" s="9" t="s">
        <v>103</v>
      </c>
      <c r="M38" s="9" t="s">
        <v>96</v>
      </c>
      <c r="N38" s="9"/>
      <c r="O38" s="9" t="s">
        <v>3086</v>
      </c>
      <c r="P38" s="9"/>
      <c r="Q38" s="9"/>
      <c r="R38" s="9"/>
      <c r="S38" s="9">
        <v>24</v>
      </c>
      <c r="T38" s="9" t="s">
        <v>95</v>
      </c>
      <c r="U38" s="9" t="s">
        <v>611</v>
      </c>
      <c r="V38" s="9">
        <v>1</v>
      </c>
      <c r="W38" s="9"/>
      <c r="X38" s="9"/>
      <c r="Y38" s="9"/>
      <c r="Z38" s="9"/>
      <c r="AA38" s="9"/>
      <c r="AB38" s="9"/>
      <c r="AC38" s="9"/>
      <c r="AD38" s="272"/>
      <c r="AE38" s="246"/>
      <c r="AF38" s="243" t="s">
        <v>154</v>
      </c>
      <c r="AG38" s="244"/>
      <c r="AH38" s="4">
        <v>627</v>
      </c>
    </row>
    <row r="39" spans="1:53" ht="11.25" hidden="1" customHeight="1" x14ac:dyDescent="0.2">
      <c r="A39" s="21">
        <v>6</v>
      </c>
      <c r="B39" s="9">
        <v>1</v>
      </c>
      <c r="C39" s="9">
        <v>6</v>
      </c>
      <c r="D39" s="9">
        <v>-1</v>
      </c>
      <c r="E39" s="9">
        <v>0</v>
      </c>
      <c r="F39" s="9"/>
      <c r="G39" s="9"/>
      <c r="H39" s="9"/>
      <c r="I39" s="9"/>
      <c r="J39" s="9"/>
      <c r="K39" s="9"/>
      <c r="L39" s="9"/>
      <c r="M39" s="9"/>
      <c r="N39" s="9"/>
      <c r="O39" s="9"/>
      <c r="P39" s="9"/>
      <c r="Q39" s="9"/>
      <c r="R39" s="9"/>
      <c r="S39" s="9"/>
      <c r="T39" s="9"/>
      <c r="U39" s="9"/>
      <c r="V39" s="9"/>
      <c r="W39" s="9"/>
      <c r="X39" s="9"/>
      <c r="Y39" s="9"/>
      <c r="Z39" s="9"/>
      <c r="AA39" s="9"/>
      <c r="AB39" s="9"/>
      <c r="AC39" s="9"/>
      <c r="AD39" s="272"/>
      <c r="AE39" s="246"/>
      <c r="AF39" s="243" t="s">
        <v>37</v>
      </c>
      <c r="AG39" s="244"/>
      <c r="AH39" s="4" t="s">
        <v>4810</v>
      </c>
    </row>
    <row r="40" spans="1:53" ht="11.25" hidden="1" customHeight="1" x14ac:dyDescent="0.2">
      <c r="A40" s="21">
        <v>7</v>
      </c>
      <c r="B40" s="9">
        <v>1</v>
      </c>
      <c r="C40" s="9">
        <v>7</v>
      </c>
      <c r="D40" s="9">
        <v>-1</v>
      </c>
      <c r="E40" s="9">
        <v>0</v>
      </c>
      <c r="F40" s="9"/>
      <c r="G40" s="9"/>
      <c r="H40" s="9"/>
      <c r="I40" s="9"/>
      <c r="J40" s="9"/>
      <c r="K40" s="9"/>
      <c r="L40" s="9"/>
      <c r="M40" s="9"/>
      <c r="N40" s="9"/>
      <c r="O40" s="9"/>
      <c r="P40" s="9"/>
      <c r="Q40" s="9"/>
      <c r="R40" s="9"/>
      <c r="S40" s="9"/>
      <c r="T40" s="9"/>
      <c r="U40" s="9"/>
      <c r="V40" s="9"/>
      <c r="W40" s="9"/>
      <c r="X40" s="9"/>
      <c r="Y40" s="9"/>
      <c r="Z40" s="9"/>
      <c r="AA40" s="9"/>
      <c r="AB40" s="9"/>
      <c r="AC40" s="9"/>
      <c r="AD40" s="272"/>
      <c r="AE40" s="246"/>
      <c r="AF40" s="243" t="s">
        <v>38</v>
      </c>
      <c r="AG40" s="244"/>
      <c r="AH40" s="4"/>
    </row>
    <row r="41" spans="1:53" ht="11.25" hidden="1" customHeight="1" x14ac:dyDescent="0.2">
      <c r="A41" s="21">
        <v>8</v>
      </c>
      <c r="B41" s="9">
        <v>1</v>
      </c>
      <c r="C41" s="9">
        <v>8</v>
      </c>
      <c r="D41" s="9">
        <v>-1</v>
      </c>
      <c r="E41" s="9">
        <v>0</v>
      </c>
      <c r="F41" s="9"/>
      <c r="G41" s="9"/>
      <c r="H41" s="9"/>
      <c r="I41" s="9"/>
      <c r="J41" s="9"/>
      <c r="K41" s="9"/>
      <c r="L41" s="9"/>
      <c r="M41" s="9"/>
      <c r="N41" s="9"/>
      <c r="O41" s="9"/>
      <c r="P41" s="9"/>
      <c r="Q41" s="9"/>
      <c r="R41" s="9"/>
      <c r="S41" s="9"/>
      <c r="T41" s="9"/>
      <c r="U41" s="9"/>
      <c r="V41" s="9"/>
      <c r="W41" s="9"/>
      <c r="X41" s="9"/>
      <c r="Y41" s="9"/>
      <c r="Z41" s="9"/>
      <c r="AA41" s="9"/>
      <c r="AB41" s="9"/>
      <c r="AC41" s="9"/>
      <c r="AD41" s="272"/>
      <c r="AE41" s="246"/>
      <c r="AF41" s="243" t="s">
        <v>39</v>
      </c>
      <c r="AG41" s="244"/>
      <c r="AH41" s="4"/>
    </row>
    <row r="42" spans="1:53" ht="11.25" hidden="1" customHeight="1" x14ac:dyDescent="0.2">
      <c r="A42" s="21">
        <v>9</v>
      </c>
      <c r="B42" s="9">
        <v>1</v>
      </c>
      <c r="C42" s="9">
        <v>9</v>
      </c>
      <c r="D42" s="9">
        <v>-1</v>
      </c>
      <c r="E42" s="9">
        <v>0</v>
      </c>
      <c r="F42" s="9"/>
      <c r="G42" s="9"/>
      <c r="H42" s="9"/>
      <c r="I42" s="9"/>
      <c r="J42" s="9"/>
      <c r="K42" s="9"/>
      <c r="L42" s="9" t="s">
        <v>103</v>
      </c>
      <c r="M42" s="9" t="s">
        <v>207</v>
      </c>
      <c r="N42" s="9"/>
      <c r="O42" s="9" t="s">
        <v>35</v>
      </c>
      <c r="P42" s="9"/>
      <c r="Q42" s="9"/>
      <c r="R42" s="9"/>
      <c r="S42" s="9">
        <v>24</v>
      </c>
      <c r="T42" s="9" t="s">
        <v>95</v>
      </c>
      <c r="U42" s="9" t="s">
        <v>384</v>
      </c>
      <c r="V42" s="9">
        <v>1</v>
      </c>
      <c r="W42" s="9"/>
      <c r="X42" s="9"/>
      <c r="Y42" s="9"/>
      <c r="Z42" s="9"/>
      <c r="AA42" s="9"/>
      <c r="AB42" s="9"/>
      <c r="AC42" s="9"/>
      <c r="AD42" s="272"/>
      <c r="AE42" s="246"/>
      <c r="AF42" s="243" t="s">
        <v>155</v>
      </c>
      <c r="AG42" s="244"/>
      <c r="AH42" s="4" t="s">
        <v>12</v>
      </c>
    </row>
    <row r="43" spans="1:53" ht="11.25" hidden="1" customHeight="1" x14ac:dyDescent="0.2">
      <c r="A43" s="21">
        <v>10</v>
      </c>
      <c r="B43" s="9">
        <v>1</v>
      </c>
      <c r="C43" s="9">
        <v>10</v>
      </c>
      <c r="D43" s="9">
        <v>-1</v>
      </c>
      <c r="E43" s="9">
        <v>0</v>
      </c>
      <c r="F43" s="9"/>
      <c r="G43" s="9"/>
      <c r="H43" s="9"/>
      <c r="I43" s="9"/>
      <c r="J43" s="9"/>
      <c r="K43" s="9"/>
      <c r="L43" s="9"/>
      <c r="M43" s="9"/>
      <c r="N43" s="9"/>
      <c r="O43" s="9" t="s">
        <v>2708</v>
      </c>
      <c r="P43" s="9"/>
      <c r="Q43" s="9"/>
      <c r="R43" s="9"/>
      <c r="S43" s="9"/>
      <c r="T43" s="9"/>
      <c r="U43" s="9"/>
      <c r="V43" s="9"/>
      <c r="W43" s="9"/>
      <c r="X43" s="9"/>
      <c r="Y43" s="9"/>
      <c r="Z43" s="9"/>
      <c r="AA43" s="9"/>
      <c r="AB43" s="9"/>
      <c r="AC43" s="9"/>
      <c r="AD43" s="272"/>
      <c r="AE43" s="246"/>
      <c r="AF43" s="243" t="s">
        <v>40</v>
      </c>
      <c r="AG43" s="244"/>
      <c r="AH43" s="4"/>
    </row>
    <row r="44" spans="1:53" ht="11.25" hidden="1" customHeight="1" x14ac:dyDescent="0.2">
      <c r="A44" s="21">
        <v>11</v>
      </c>
      <c r="B44" s="9">
        <v>1</v>
      </c>
      <c r="C44" s="9">
        <v>11</v>
      </c>
      <c r="D44" s="9">
        <v>-1</v>
      </c>
      <c r="E44" s="9">
        <v>0</v>
      </c>
      <c r="F44" s="9"/>
      <c r="G44" s="9"/>
      <c r="H44" s="9"/>
      <c r="I44" s="9"/>
      <c r="J44" s="9"/>
      <c r="K44" s="9"/>
      <c r="L44" s="9"/>
      <c r="M44" s="9"/>
      <c r="N44" s="9"/>
      <c r="O44" s="9" t="s">
        <v>2708</v>
      </c>
      <c r="P44" s="9"/>
      <c r="Q44" s="9"/>
      <c r="R44" s="9"/>
      <c r="S44" s="9"/>
      <c r="T44" s="9"/>
      <c r="U44" s="9"/>
      <c r="V44" s="9"/>
      <c r="W44" s="9"/>
      <c r="X44" s="9"/>
      <c r="Y44" s="9"/>
      <c r="Z44" s="9"/>
      <c r="AA44" s="9"/>
      <c r="AB44" s="9"/>
      <c r="AC44" s="9"/>
      <c r="AD44" s="272"/>
      <c r="AE44" s="246"/>
      <c r="AF44" s="243" t="s">
        <v>41</v>
      </c>
      <c r="AG44" s="244"/>
      <c r="AH44" s="4"/>
    </row>
    <row r="45" spans="1:53" ht="11.25" hidden="1" customHeight="1" x14ac:dyDescent="0.2">
      <c r="A45" s="21">
        <v>12</v>
      </c>
      <c r="B45" s="9">
        <v>1</v>
      </c>
      <c r="C45" s="9">
        <v>12</v>
      </c>
      <c r="D45" s="9">
        <v>-1</v>
      </c>
      <c r="E45" s="9">
        <v>0</v>
      </c>
      <c r="F45" s="9"/>
      <c r="G45" s="9"/>
      <c r="H45" s="9"/>
      <c r="I45" s="9"/>
      <c r="J45" s="9"/>
      <c r="K45" s="9"/>
      <c r="L45" s="9"/>
      <c r="M45" s="9"/>
      <c r="N45" s="9"/>
      <c r="O45" s="9"/>
      <c r="P45" s="9"/>
      <c r="Q45" s="9"/>
      <c r="R45" s="9"/>
      <c r="S45" s="9"/>
      <c r="T45" s="9"/>
      <c r="U45" s="9"/>
      <c r="V45" s="9"/>
      <c r="W45" s="9"/>
      <c r="X45" s="9"/>
      <c r="Y45" s="9"/>
      <c r="Z45" s="9"/>
      <c r="AA45" s="9"/>
      <c r="AB45" s="9"/>
      <c r="AC45" s="9"/>
      <c r="AD45" s="272"/>
      <c r="AE45" s="246"/>
      <c r="AF45" s="243" t="s">
        <v>54</v>
      </c>
      <c r="AG45" s="244"/>
      <c r="AH45" s="4"/>
    </row>
    <row r="46" spans="1:53" ht="11.25" hidden="1" customHeight="1" x14ac:dyDescent="0.2">
      <c r="A46" s="21">
        <v>13</v>
      </c>
      <c r="B46" s="9">
        <v>1</v>
      </c>
      <c r="C46" s="9">
        <v>13</v>
      </c>
      <c r="D46" s="9">
        <v>-1</v>
      </c>
      <c r="E46" s="9">
        <v>0</v>
      </c>
      <c r="F46" s="9"/>
      <c r="G46" s="9"/>
      <c r="H46" s="9"/>
      <c r="I46" s="9"/>
      <c r="J46" s="9"/>
      <c r="K46" s="9"/>
      <c r="L46" s="9"/>
      <c r="M46" s="9"/>
      <c r="N46" s="9"/>
      <c r="O46" s="9"/>
      <c r="P46" s="9"/>
      <c r="Q46" s="9"/>
      <c r="R46" s="9"/>
      <c r="S46" s="9"/>
      <c r="T46" s="9"/>
      <c r="U46" s="9"/>
      <c r="V46" s="9"/>
      <c r="W46" s="9"/>
      <c r="X46" s="9"/>
      <c r="Y46" s="9"/>
      <c r="Z46" s="9"/>
      <c r="AA46" s="9"/>
      <c r="AB46" s="9"/>
      <c r="AC46" s="9"/>
      <c r="AD46" s="272"/>
      <c r="AE46" s="246"/>
      <c r="AF46" s="243" t="s">
        <v>55</v>
      </c>
      <c r="AG46" s="244"/>
      <c r="AH46" s="4"/>
    </row>
    <row r="47" spans="1:53" ht="11.25" hidden="1" customHeight="1" x14ac:dyDescent="0.2">
      <c r="A47" s="21">
        <v>14</v>
      </c>
      <c r="B47" s="9">
        <v>1</v>
      </c>
      <c r="C47" s="9">
        <v>14</v>
      </c>
      <c r="D47" s="9">
        <v>-1</v>
      </c>
      <c r="E47" s="9">
        <v>0</v>
      </c>
      <c r="F47" s="9"/>
      <c r="G47" s="9"/>
      <c r="H47" s="9"/>
      <c r="I47" s="9"/>
      <c r="J47" s="9"/>
      <c r="K47" s="9"/>
      <c r="L47" s="9"/>
      <c r="M47" s="9"/>
      <c r="N47" s="9"/>
      <c r="O47" s="9" t="s">
        <v>2708</v>
      </c>
      <c r="P47" s="9"/>
      <c r="Q47" s="9"/>
      <c r="R47" s="9"/>
      <c r="S47" s="9"/>
      <c r="T47" s="9"/>
      <c r="U47" s="9"/>
      <c r="V47" s="9"/>
      <c r="W47" s="9"/>
      <c r="X47" s="9"/>
      <c r="Y47" s="9"/>
      <c r="Z47" s="9"/>
      <c r="AA47" s="9"/>
      <c r="AB47" s="9"/>
      <c r="AC47" s="9"/>
      <c r="AD47" s="272"/>
      <c r="AE47" s="246"/>
      <c r="AF47" s="243" t="s">
        <v>42</v>
      </c>
      <c r="AG47" s="244"/>
      <c r="AH47" s="4"/>
    </row>
    <row r="48" spans="1:53" ht="11.25" hidden="1" customHeight="1" x14ac:dyDescent="0.2">
      <c r="A48" s="21">
        <v>15</v>
      </c>
      <c r="B48" s="9">
        <v>1</v>
      </c>
      <c r="C48" s="9">
        <v>15</v>
      </c>
      <c r="D48" s="9">
        <v>-1</v>
      </c>
      <c r="E48" s="9">
        <v>0</v>
      </c>
      <c r="F48" s="9"/>
      <c r="G48" s="9"/>
      <c r="H48" s="9"/>
      <c r="I48" s="9"/>
      <c r="J48" s="9"/>
      <c r="K48" s="9"/>
      <c r="L48" s="9"/>
      <c r="M48" s="9"/>
      <c r="N48" s="9"/>
      <c r="O48" s="9"/>
      <c r="P48" s="9"/>
      <c r="Q48" s="9"/>
      <c r="R48" s="9"/>
      <c r="S48" s="9"/>
      <c r="T48" s="9"/>
      <c r="U48" s="9"/>
      <c r="V48" s="9"/>
      <c r="W48" s="9"/>
      <c r="X48" s="9"/>
      <c r="Y48" s="9"/>
      <c r="Z48" s="9"/>
      <c r="AA48" s="9"/>
      <c r="AB48" s="9"/>
      <c r="AC48" s="9"/>
      <c r="AD48" s="272"/>
      <c r="AE48" s="246"/>
      <c r="AF48" s="243" t="s">
        <v>396</v>
      </c>
      <c r="AG48" s="244"/>
      <c r="AH48" s="4"/>
    </row>
    <row r="49" spans="1:34" ht="11.25" hidden="1" customHeight="1" x14ac:dyDescent="0.2">
      <c r="A49" s="21">
        <v>16</v>
      </c>
      <c r="B49" s="9">
        <v>1</v>
      </c>
      <c r="C49" s="9">
        <v>16</v>
      </c>
      <c r="D49" s="9">
        <v>-1</v>
      </c>
      <c r="E49" s="9">
        <v>0</v>
      </c>
      <c r="F49" s="9"/>
      <c r="G49" s="9"/>
      <c r="H49" s="9"/>
      <c r="I49" s="9"/>
      <c r="J49" s="9"/>
      <c r="K49" s="9"/>
      <c r="L49" s="9"/>
      <c r="M49" s="9"/>
      <c r="N49" s="9"/>
      <c r="O49" s="9"/>
      <c r="P49" s="9"/>
      <c r="Q49" s="9"/>
      <c r="R49" s="9"/>
      <c r="S49" s="9"/>
      <c r="T49" s="9"/>
      <c r="U49" s="9"/>
      <c r="V49" s="9"/>
      <c r="W49" s="9"/>
      <c r="X49" s="9"/>
      <c r="Y49" s="9"/>
      <c r="Z49" s="9"/>
      <c r="AA49" s="9"/>
      <c r="AB49" s="9"/>
      <c r="AC49" s="9"/>
      <c r="AD49" s="272"/>
      <c r="AE49" s="246"/>
      <c r="AF49" s="243" t="s">
        <v>398</v>
      </c>
      <c r="AG49" s="244"/>
      <c r="AH49" s="4"/>
    </row>
    <row r="50" spans="1:34" ht="11.25" hidden="1" customHeight="1" x14ac:dyDescent="0.2">
      <c r="A50" s="21">
        <v>17</v>
      </c>
      <c r="B50" s="9">
        <v>1</v>
      </c>
      <c r="C50" s="9">
        <v>17</v>
      </c>
      <c r="D50" s="9">
        <v>-1</v>
      </c>
      <c r="E50" s="9">
        <v>0</v>
      </c>
      <c r="F50" s="9"/>
      <c r="G50" s="9"/>
      <c r="H50" s="9"/>
      <c r="I50" s="9"/>
      <c r="J50" s="9"/>
      <c r="K50" s="9"/>
      <c r="L50" s="9"/>
      <c r="M50" s="9"/>
      <c r="N50" s="9"/>
      <c r="O50" s="9"/>
      <c r="P50" s="9"/>
      <c r="Q50" s="9"/>
      <c r="R50" s="9"/>
      <c r="S50" s="9"/>
      <c r="T50" s="9"/>
      <c r="U50" s="9"/>
      <c r="V50" s="9"/>
      <c r="W50" s="9"/>
      <c r="X50" s="9"/>
      <c r="Y50" s="9"/>
      <c r="Z50" s="9"/>
      <c r="AA50" s="9"/>
      <c r="AB50" s="9"/>
      <c r="AC50" s="9"/>
      <c r="AD50" s="272"/>
      <c r="AE50" s="246"/>
      <c r="AF50" s="243" t="s">
        <v>156</v>
      </c>
      <c r="AG50" s="244"/>
      <c r="AH50" s="4"/>
    </row>
    <row r="51" spans="1:34" ht="11.25" hidden="1" customHeight="1" x14ac:dyDescent="0.2">
      <c r="A51" s="21">
        <v>18</v>
      </c>
      <c r="B51" s="9">
        <v>1</v>
      </c>
      <c r="C51" s="9">
        <v>18</v>
      </c>
      <c r="D51" s="9">
        <v>-1</v>
      </c>
      <c r="E51" s="9">
        <v>0</v>
      </c>
      <c r="F51" s="9"/>
      <c r="G51" s="9"/>
      <c r="H51" s="9"/>
      <c r="I51" s="9"/>
      <c r="J51" s="9"/>
      <c r="K51" s="9"/>
      <c r="L51" s="9"/>
      <c r="M51" s="9"/>
      <c r="N51" s="9"/>
      <c r="O51" s="9"/>
      <c r="P51" s="9"/>
      <c r="Q51" s="9"/>
      <c r="R51" s="9"/>
      <c r="S51" s="9"/>
      <c r="T51" s="9"/>
      <c r="U51" s="9"/>
      <c r="V51" s="9"/>
      <c r="W51" s="9"/>
      <c r="X51" s="9"/>
      <c r="Y51" s="9"/>
      <c r="Z51" s="9"/>
      <c r="AA51" s="9"/>
      <c r="AB51" s="9"/>
      <c r="AC51" s="9"/>
      <c r="AD51" s="272"/>
      <c r="AE51" s="246"/>
      <c r="AF51" s="243" t="s">
        <v>157</v>
      </c>
      <c r="AG51" s="244"/>
      <c r="AH51" s="4"/>
    </row>
    <row r="52" spans="1:34" ht="11.25" hidden="1" customHeight="1" x14ac:dyDescent="0.2">
      <c r="A52" s="21">
        <v>19</v>
      </c>
      <c r="B52" s="9">
        <v>1</v>
      </c>
      <c r="C52" s="9">
        <v>19</v>
      </c>
      <c r="D52" s="9">
        <v>-1</v>
      </c>
      <c r="E52" s="9">
        <v>0</v>
      </c>
      <c r="F52" s="9"/>
      <c r="G52" s="9"/>
      <c r="H52" s="9"/>
      <c r="I52" s="9"/>
      <c r="J52" s="9"/>
      <c r="K52" s="9"/>
      <c r="L52" s="9"/>
      <c r="M52" s="9"/>
      <c r="N52" s="9"/>
      <c r="O52" s="9"/>
      <c r="P52" s="9"/>
      <c r="Q52" s="9"/>
      <c r="R52" s="9"/>
      <c r="S52" s="9"/>
      <c r="T52" s="9"/>
      <c r="U52" s="9"/>
      <c r="V52" s="9"/>
      <c r="W52" s="9"/>
      <c r="X52" s="9"/>
      <c r="Y52" s="9"/>
      <c r="Z52" s="9"/>
      <c r="AA52" s="9"/>
      <c r="AB52" s="9"/>
      <c r="AC52" s="9"/>
      <c r="AD52" s="272"/>
      <c r="AE52" s="246"/>
      <c r="AF52" s="243" t="s">
        <v>158</v>
      </c>
      <c r="AG52" s="244"/>
      <c r="AH52" s="4"/>
    </row>
    <row r="53" spans="1:34" ht="11.25" hidden="1" customHeight="1" x14ac:dyDescent="0.2">
      <c r="A53" s="21">
        <v>20</v>
      </c>
      <c r="B53" s="9">
        <v>1</v>
      </c>
      <c r="C53" s="9">
        <v>20</v>
      </c>
      <c r="D53" s="9">
        <v>-1</v>
      </c>
      <c r="E53" s="9">
        <v>0</v>
      </c>
      <c r="F53" s="9"/>
      <c r="G53" s="9"/>
      <c r="H53" s="9"/>
      <c r="I53" s="9"/>
      <c r="J53" s="9"/>
      <c r="K53" s="9"/>
      <c r="L53" s="9"/>
      <c r="M53" s="9"/>
      <c r="N53" s="9"/>
      <c r="O53" s="9"/>
      <c r="P53" s="9"/>
      <c r="Q53" s="9"/>
      <c r="R53" s="9"/>
      <c r="S53" s="9"/>
      <c r="T53" s="9"/>
      <c r="U53" s="9"/>
      <c r="V53" s="9"/>
      <c r="W53" s="9"/>
      <c r="X53" s="9"/>
      <c r="Y53" s="9"/>
      <c r="Z53" s="9"/>
      <c r="AA53" s="9"/>
      <c r="AB53" s="9"/>
      <c r="AC53" s="9"/>
      <c r="AD53" s="272"/>
      <c r="AE53" s="246"/>
      <c r="AF53" s="243" t="s">
        <v>159</v>
      </c>
      <c r="AG53" s="244"/>
      <c r="AH53" s="4"/>
    </row>
    <row r="54" spans="1:34" ht="11.25" hidden="1" customHeight="1" x14ac:dyDescent="0.2">
      <c r="A54" s="21">
        <v>21</v>
      </c>
      <c r="B54" s="9">
        <v>1</v>
      </c>
      <c r="C54" s="9">
        <v>21</v>
      </c>
      <c r="D54" s="9">
        <v>-1</v>
      </c>
      <c r="E54" s="9">
        <v>0</v>
      </c>
      <c r="F54" s="9"/>
      <c r="G54" s="9"/>
      <c r="H54" s="9"/>
      <c r="I54" s="9"/>
      <c r="J54" s="9"/>
      <c r="K54" s="9"/>
      <c r="L54" s="9"/>
      <c r="M54" s="9"/>
      <c r="N54" s="9"/>
      <c r="O54" s="9"/>
      <c r="P54" s="9"/>
      <c r="Q54" s="9"/>
      <c r="R54" s="9"/>
      <c r="S54" s="9"/>
      <c r="T54" s="9"/>
      <c r="U54" s="9"/>
      <c r="V54" s="9"/>
      <c r="W54" s="9"/>
      <c r="X54" s="9"/>
      <c r="Y54" s="9"/>
      <c r="Z54" s="9"/>
      <c r="AA54" s="9"/>
      <c r="AB54" s="9"/>
      <c r="AC54" s="9"/>
      <c r="AD54" s="272"/>
      <c r="AE54" s="246"/>
      <c r="AF54" s="243" t="s">
        <v>352</v>
      </c>
      <c r="AG54" s="244"/>
      <c r="AH54" s="4"/>
    </row>
    <row r="55" spans="1:34" ht="11.25" hidden="1" customHeight="1" x14ac:dyDescent="0.2">
      <c r="A55" s="21">
        <v>22</v>
      </c>
      <c r="B55" s="9">
        <v>1</v>
      </c>
      <c r="C55" s="9">
        <v>22</v>
      </c>
      <c r="D55" s="9">
        <v>-1</v>
      </c>
      <c r="E55" s="9">
        <v>0</v>
      </c>
      <c r="F55" s="9"/>
      <c r="G55" s="9"/>
      <c r="H55" s="9"/>
      <c r="I55" s="9"/>
      <c r="J55" s="9"/>
      <c r="K55" s="9"/>
      <c r="L55" s="9"/>
      <c r="M55" s="9"/>
      <c r="N55" s="9"/>
      <c r="O55" s="9"/>
      <c r="P55" s="9"/>
      <c r="Q55" s="9"/>
      <c r="R55" s="9"/>
      <c r="S55" s="9"/>
      <c r="T55" s="9"/>
      <c r="U55" s="9"/>
      <c r="V55" s="9"/>
      <c r="W55" s="9"/>
      <c r="X55" s="9"/>
      <c r="Y55" s="9"/>
      <c r="Z55" s="9"/>
      <c r="AA55" s="9"/>
      <c r="AB55" s="9"/>
      <c r="AC55" s="9"/>
      <c r="AD55" s="272"/>
      <c r="AE55" s="246"/>
      <c r="AF55" s="243" t="s">
        <v>708</v>
      </c>
      <c r="AG55" s="244"/>
      <c r="AH55" s="4"/>
    </row>
    <row r="56" spans="1:34" ht="11.25" hidden="1" customHeight="1" x14ac:dyDescent="0.2">
      <c r="A56" s="21">
        <v>23</v>
      </c>
      <c r="B56" s="9">
        <v>1</v>
      </c>
      <c r="C56" s="9">
        <v>23</v>
      </c>
      <c r="D56" s="9">
        <v>-1</v>
      </c>
      <c r="E56" s="9">
        <v>0</v>
      </c>
      <c r="F56" s="9"/>
      <c r="G56" s="9"/>
      <c r="H56" s="9"/>
      <c r="I56" s="9"/>
      <c r="J56" s="9"/>
      <c r="K56" s="9"/>
      <c r="L56" s="9"/>
      <c r="M56" s="9"/>
      <c r="N56" s="9"/>
      <c r="O56" s="9"/>
      <c r="P56" s="9"/>
      <c r="Q56" s="9"/>
      <c r="R56" s="9"/>
      <c r="S56" s="9"/>
      <c r="T56" s="9"/>
      <c r="U56" s="9"/>
      <c r="V56" s="9"/>
      <c r="W56" s="9"/>
      <c r="X56" s="9"/>
      <c r="Y56" s="9"/>
      <c r="Z56" s="9"/>
      <c r="AA56" s="9"/>
      <c r="AB56" s="9"/>
      <c r="AC56" s="9"/>
      <c r="AD56" s="272"/>
      <c r="AE56" s="246"/>
      <c r="AF56" s="243" t="s">
        <v>578</v>
      </c>
      <c r="AG56" s="244"/>
      <c r="AH56" s="4"/>
    </row>
    <row r="57" spans="1:34" ht="11.25" hidden="1" customHeight="1" x14ac:dyDescent="0.2">
      <c r="A57" s="21">
        <v>24</v>
      </c>
      <c r="B57" s="9">
        <v>1</v>
      </c>
      <c r="C57" s="9">
        <v>24</v>
      </c>
      <c r="D57" s="9">
        <v>-1</v>
      </c>
      <c r="E57" s="9">
        <v>0</v>
      </c>
      <c r="F57" s="9"/>
      <c r="G57" s="9"/>
      <c r="H57" s="9"/>
      <c r="I57" s="9"/>
      <c r="J57" s="9"/>
      <c r="K57" s="9"/>
      <c r="L57" s="9"/>
      <c r="M57" s="9"/>
      <c r="N57" s="9"/>
      <c r="O57" s="9"/>
      <c r="P57" s="9"/>
      <c r="Q57" s="9"/>
      <c r="R57" s="9"/>
      <c r="S57" s="9"/>
      <c r="T57" s="9"/>
      <c r="U57" s="9"/>
      <c r="V57" s="9"/>
      <c r="W57" s="9"/>
      <c r="X57" s="9"/>
      <c r="Y57" s="9"/>
      <c r="Z57" s="9"/>
      <c r="AA57" s="9"/>
      <c r="AB57" s="9"/>
      <c r="AC57" s="9"/>
      <c r="AD57" s="272"/>
      <c r="AE57" s="246"/>
      <c r="AF57" s="243" t="s">
        <v>743</v>
      </c>
      <c r="AG57" s="244"/>
      <c r="AH57" s="4"/>
    </row>
    <row r="58" spans="1:34" ht="11.25" hidden="1" customHeight="1" x14ac:dyDescent="0.2">
      <c r="A58" s="21">
        <v>25</v>
      </c>
      <c r="B58" s="9">
        <v>1</v>
      </c>
      <c r="C58" s="9">
        <v>25</v>
      </c>
      <c r="D58" s="9">
        <v>-1</v>
      </c>
      <c r="E58" s="9">
        <v>0</v>
      </c>
      <c r="F58" s="9"/>
      <c r="G58" s="9"/>
      <c r="H58" s="9"/>
      <c r="I58" s="9"/>
      <c r="J58" s="9"/>
      <c r="K58" s="9"/>
      <c r="L58" s="9"/>
      <c r="M58" s="9"/>
      <c r="N58" s="9"/>
      <c r="O58" s="9"/>
      <c r="P58" s="9"/>
      <c r="Q58" s="9"/>
      <c r="R58" s="9"/>
      <c r="S58" s="9"/>
      <c r="T58" s="9"/>
      <c r="U58" s="9"/>
      <c r="V58" s="9"/>
      <c r="W58" s="9"/>
      <c r="X58" s="9"/>
      <c r="Y58" s="9"/>
      <c r="Z58" s="9"/>
      <c r="AA58" s="9"/>
      <c r="AB58" s="9"/>
      <c r="AC58" s="9"/>
      <c r="AD58" s="272"/>
      <c r="AE58" s="246"/>
      <c r="AF58" s="243" t="s">
        <v>183</v>
      </c>
      <c r="AG58" s="244"/>
      <c r="AH58" s="4" t="s">
        <v>4812</v>
      </c>
    </row>
    <row r="59" spans="1:34" ht="11.25" hidden="1" customHeight="1" x14ac:dyDescent="0.2">
      <c r="A59" s="21">
        <v>26</v>
      </c>
      <c r="B59" s="9">
        <v>1</v>
      </c>
      <c r="C59" s="9">
        <v>26</v>
      </c>
      <c r="D59" s="9">
        <v>-1</v>
      </c>
      <c r="E59" s="9">
        <v>0</v>
      </c>
      <c r="F59" s="9"/>
      <c r="G59" s="9"/>
      <c r="H59" s="9"/>
      <c r="I59" s="9"/>
      <c r="J59" s="9"/>
      <c r="K59" s="9"/>
      <c r="L59" s="9"/>
      <c r="M59" s="9"/>
      <c r="N59" s="9"/>
      <c r="O59" s="9"/>
      <c r="P59" s="9"/>
      <c r="Q59" s="9"/>
      <c r="R59" s="9"/>
      <c r="S59" s="9"/>
      <c r="T59" s="9"/>
      <c r="U59" s="9"/>
      <c r="V59" s="9"/>
      <c r="W59" s="9"/>
      <c r="X59" s="9"/>
      <c r="Y59" s="9"/>
      <c r="Z59" s="9"/>
      <c r="AA59" s="9"/>
      <c r="AB59" s="9"/>
      <c r="AC59" s="9"/>
      <c r="AD59" s="272"/>
      <c r="AE59" s="247"/>
      <c r="AF59" s="241" t="s">
        <v>184</v>
      </c>
      <c r="AG59" s="242"/>
      <c r="AH59" s="4" t="s">
        <v>4813</v>
      </c>
    </row>
    <row r="60" spans="1:34" ht="11.25" hidden="1" customHeight="1" x14ac:dyDescent="0.2">
      <c r="A60" s="21">
        <v>27</v>
      </c>
      <c r="B60" s="9">
        <v>1</v>
      </c>
      <c r="C60" s="9">
        <v>27</v>
      </c>
      <c r="D60" s="9">
        <v>-1</v>
      </c>
      <c r="E60" s="9">
        <v>0</v>
      </c>
      <c r="F60" s="9"/>
      <c r="G60" s="9"/>
      <c r="H60" s="9"/>
      <c r="I60" s="9"/>
      <c r="J60" s="9"/>
      <c r="K60" s="9"/>
      <c r="L60" s="9"/>
      <c r="M60" s="9"/>
      <c r="N60" s="9"/>
      <c r="O60" s="9"/>
      <c r="P60" s="9"/>
      <c r="Q60" s="9"/>
      <c r="R60" s="9"/>
      <c r="S60" s="9"/>
      <c r="T60" s="9"/>
      <c r="U60" s="9"/>
      <c r="V60" s="9"/>
      <c r="W60" s="9"/>
      <c r="X60" s="9"/>
      <c r="Y60" s="9"/>
      <c r="Z60" s="9"/>
      <c r="AA60" s="9"/>
      <c r="AB60" s="9"/>
      <c r="AC60" s="9"/>
      <c r="AD60" s="272"/>
      <c r="AE60" s="247"/>
      <c r="AF60" s="241" t="s">
        <v>185</v>
      </c>
      <c r="AG60" s="242"/>
      <c r="AH60" s="4" t="s">
        <v>4814</v>
      </c>
    </row>
    <row r="61" spans="1:34" ht="11.25" hidden="1" customHeight="1" x14ac:dyDescent="0.2">
      <c r="A61" s="21">
        <v>28</v>
      </c>
      <c r="B61" s="9">
        <v>1</v>
      </c>
      <c r="C61" s="9">
        <v>28</v>
      </c>
      <c r="D61" s="9">
        <v>-1</v>
      </c>
      <c r="E61" s="9">
        <v>0</v>
      </c>
      <c r="F61" s="9"/>
      <c r="G61" s="9"/>
      <c r="H61" s="9"/>
      <c r="I61" s="9"/>
      <c r="J61" s="9"/>
      <c r="K61" s="9"/>
      <c r="L61" s="9"/>
      <c r="M61" s="9"/>
      <c r="N61" s="9"/>
      <c r="O61" s="9"/>
      <c r="P61" s="9"/>
      <c r="Q61" s="9"/>
      <c r="R61" s="9"/>
      <c r="S61" s="9"/>
      <c r="T61" s="9"/>
      <c r="U61" s="9"/>
      <c r="V61" s="9"/>
      <c r="W61" s="9"/>
      <c r="X61" s="9"/>
      <c r="Y61" s="9"/>
      <c r="Z61" s="9"/>
      <c r="AA61" s="9"/>
      <c r="AB61" s="9"/>
      <c r="AC61" s="9"/>
      <c r="AD61" s="272"/>
      <c r="AE61" s="247"/>
      <c r="AF61" s="241" t="s">
        <v>186</v>
      </c>
      <c r="AG61" s="242"/>
      <c r="AH61" s="4"/>
    </row>
    <row r="62" spans="1:34" ht="11.25" hidden="1" customHeight="1" x14ac:dyDescent="0.2">
      <c r="A62" s="21">
        <v>29</v>
      </c>
      <c r="B62" s="9">
        <v>1</v>
      </c>
      <c r="C62" s="9">
        <v>29</v>
      </c>
      <c r="D62" s="9">
        <v>-1</v>
      </c>
      <c r="E62" s="9">
        <v>0</v>
      </c>
      <c r="F62" s="9"/>
      <c r="G62" s="9"/>
      <c r="H62" s="9"/>
      <c r="I62" s="9"/>
      <c r="J62" s="9"/>
      <c r="K62" s="9"/>
      <c r="L62" s="9"/>
      <c r="M62" s="9"/>
      <c r="N62" s="9"/>
      <c r="O62" s="9"/>
      <c r="P62" s="9"/>
      <c r="Q62" s="9"/>
      <c r="R62" s="9"/>
      <c r="S62" s="9"/>
      <c r="T62" s="9"/>
      <c r="U62" s="9"/>
      <c r="V62" s="9"/>
      <c r="W62" s="9"/>
      <c r="X62" s="9"/>
      <c r="Y62" s="9"/>
      <c r="Z62" s="9"/>
      <c r="AA62" s="9"/>
      <c r="AB62" s="9"/>
      <c r="AC62" s="9"/>
      <c r="AD62" s="272"/>
      <c r="AE62" s="247"/>
      <c r="AF62" s="241" t="s">
        <v>579</v>
      </c>
      <c r="AG62" s="242"/>
      <c r="AH62" s="4" t="s">
        <v>4815</v>
      </c>
    </row>
    <row r="63" spans="1:34" ht="11.25" hidden="1" customHeight="1" x14ac:dyDescent="0.2">
      <c r="A63" s="21">
        <v>30</v>
      </c>
      <c r="B63" s="9">
        <v>1</v>
      </c>
      <c r="C63" s="9">
        <v>30</v>
      </c>
      <c r="D63" s="9">
        <v>-1</v>
      </c>
      <c r="E63" s="9">
        <v>0</v>
      </c>
      <c r="F63" s="9"/>
      <c r="G63" s="9"/>
      <c r="H63" s="9"/>
      <c r="I63" s="9"/>
      <c r="J63" s="9"/>
      <c r="K63" s="9"/>
      <c r="L63" s="9"/>
      <c r="M63" s="9"/>
      <c r="N63" s="9"/>
      <c r="O63" s="9"/>
      <c r="P63" s="9"/>
      <c r="Q63" s="9"/>
      <c r="R63" s="9"/>
      <c r="S63" s="9"/>
      <c r="T63" s="9"/>
      <c r="U63" s="9"/>
      <c r="V63" s="9"/>
      <c r="W63" s="9"/>
      <c r="X63" s="9"/>
      <c r="Y63" s="9"/>
      <c r="Z63" s="9"/>
      <c r="AA63" s="9"/>
      <c r="AB63" s="9"/>
      <c r="AC63" s="9"/>
      <c r="AD63" s="272"/>
      <c r="AE63" s="247"/>
      <c r="AF63" s="241" t="s">
        <v>353</v>
      </c>
      <c r="AG63" s="242"/>
      <c r="AH63" s="4" t="s">
        <v>4818</v>
      </c>
    </row>
    <row r="64" spans="1:34" ht="11.25" hidden="1" customHeight="1" x14ac:dyDescent="0.2">
      <c r="A64" s="21">
        <v>31</v>
      </c>
      <c r="B64" s="9">
        <v>1</v>
      </c>
      <c r="C64" s="9">
        <v>31</v>
      </c>
      <c r="D64" s="9">
        <v>-1</v>
      </c>
      <c r="E64" s="9">
        <v>0</v>
      </c>
      <c r="F64" s="9"/>
      <c r="G64" s="9"/>
      <c r="H64" s="9"/>
      <c r="I64" s="9"/>
      <c r="J64" s="9"/>
      <c r="K64" s="9"/>
      <c r="L64" s="9"/>
      <c r="M64" s="9"/>
      <c r="N64" s="9"/>
      <c r="O64" s="9"/>
      <c r="P64" s="9"/>
      <c r="Q64" s="9"/>
      <c r="R64" s="9"/>
      <c r="S64" s="9"/>
      <c r="T64" s="9"/>
      <c r="U64" s="9"/>
      <c r="V64" s="9"/>
      <c r="W64" s="9"/>
      <c r="X64" s="9"/>
      <c r="Y64" s="9"/>
      <c r="Z64" s="9"/>
      <c r="AA64" s="9"/>
      <c r="AB64" s="9"/>
      <c r="AC64" s="9"/>
      <c r="AD64" s="272"/>
      <c r="AE64" s="247"/>
      <c r="AF64" s="243" t="s">
        <v>354</v>
      </c>
      <c r="AG64" s="244"/>
      <c r="AH64" s="4"/>
    </row>
    <row r="65" spans="1:34" ht="11.25" hidden="1" customHeight="1" x14ac:dyDescent="0.2">
      <c r="A65" s="21">
        <v>32</v>
      </c>
      <c r="B65" s="9">
        <v>1</v>
      </c>
      <c r="C65" s="9">
        <v>32</v>
      </c>
      <c r="D65" s="9">
        <v>0</v>
      </c>
      <c r="E65" s="9">
        <v>0</v>
      </c>
      <c r="F65" s="9"/>
      <c r="G65" s="9"/>
      <c r="H65" s="9"/>
      <c r="I65" s="9"/>
      <c r="J65" s="9"/>
      <c r="K65" s="9"/>
      <c r="L65" s="9"/>
      <c r="M65" s="9"/>
      <c r="N65" s="9"/>
      <c r="O65" s="9"/>
      <c r="P65" s="9"/>
      <c r="Q65" s="9"/>
      <c r="R65" s="9"/>
      <c r="S65" s="9"/>
      <c r="T65" s="9"/>
      <c r="U65" s="9"/>
      <c r="V65" s="9"/>
      <c r="W65" s="9"/>
      <c r="X65" s="9"/>
      <c r="Y65" s="9"/>
      <c r="Z65" s="9"/>
      <c r="AA65" s="9"/>
      <c r="AB65" s="9"/>
      <c r="AC65" s="9"/>
      <c r="AD65" s="272"/>
      <c r="AE65" s="247"/>
      <c r="AF65" s="243" t="s">
        <v>355</v>
      </c>
      <c r="AG65" s="244"/>
      <c r="AH65" s="4" t="s">
        <v>4819</v>
      </c>
    </row>
    <row r="66" spans="1:34" ht="11.25" hidden="1" customHeight="1" x14ac:dyDescent="0.2">
      <c r="A66" s="21">
        <v>33</v>
      </c>
      <c r="B66" s="9">
        <v>1</v>
      </c>
      <c r="C66" s="9">
        <v>33</v>
      </c>
      <c r="D66" s="9">
        <v>0</v>
      </c>
      <c r="E66" s="9">
        <v>0</v>
      </c>
      <c r="F66" s="9"/>
      <c r="G66" s="9"/>
      <c r="H66" s="9"/>
      <c r="I66" s="9"/>
      <c r="J66" s="9"/>
      <c r="K66" s="9"/>
      <c r="L66" s="9"/>
      <c r="M66" s="9"/>
      <c r="N66" s="9"/>
      <c r="O66" s="9"/>
      <c r="P66" s="9"/>
      <c r="Q66" s="9"/>
      <c r="R66" s="9"/>
      <c r="S66" s="9"/>
      <c r="T66" s="9"/>
      <c r="U66" s="9"/>
      <c r="V66" s="9"/>
      <c r="W66" s="9"/>
      <c r="X66" s="9"/>
      <c r="Y66" s="9"/>
      <c r="Z66" s="9"/>
      <c r="AA66" s="9"/>
      <c r="AB66" s="9"/>
      <c r="AC66" s="9"/>
      <c r="AD66" s="272"/>
      <c r="AE66" s="247"/>
      <c r="AF66" s="243" t="s">
        <v>43</v>
      </c>
      <c r="AG66" s="244"/>
      <c r="AH66" s="4"/>
    </row>
    <row r="67" spans="1:34" ht="11.25" hidden="1" customHeight="1" x14ac:dyDescent="0.2">
      <c r="A67" s="21">
        <v>34</v>
      </c>
      <c r="B67" s="9">
        <v>1</v>
      </c>
      <c r="C67" s="9">
        <v>34</v>
      </c>
      <c r="D67" s="9">
        <v>0</v>
      </c>
      <c r="E67" s="9">
        <v>0</v>
      </c>
      <c r="F67" s="9"/>
      <c r="G67" s="9"/>
      <c r="H67" s="9"/>
      <c r="I67" s="9"/>
      <c r="J67" s="9"/>
      <c r="K67" s="9"/>
      <c r="L67" s="9"/>
      <c r="M67" s="9"/>
      <c r="N67" s="9"/>
      <c r="O67" s="9"/>
      <c r="P67" s="9"/>
      <c r="Q67" s="9"/>
      <c r="R67" s="9"/>
      <c r="S67" s="9"/>
      <c r="T67" s="9"/>
      <c r="U67" s="9"/>
      <c r="V67" s="9"/>
      <c r="W67" s="9"/>
      <c r="X67" s="9"/>
      <c r="Y67" s="9"/>
      <c r="Z67" s="9"/>
      <c r="AA67" s="9"/>
      <c r="AB67" s="9"/>
      <c r="AC67" s="9"/>
      <c r="AD67" s="272"/>
      <c r="AE67" s="247"/>
      <c r="AF67" s="241" t="s">
        <v>580</v>
      </c>
      <c r="AG67" s="242"/>
      <c r="AH67" s="4" t="s">
        <v>4816</v>
      </c>
    </row>
    <row r="68" spans="1:34" ht="11.25" hidden="1" customHeight="1" x14ac:dyDescent="0.2">
      <c r="A68" s="21">
        <v>35</v>
      </c>
      <c r="B68" s="9">
        <v>1</v>
      </c>
      <c r="C68" s="9">
        <v>35</v>
      </c>
      <c r="D68" s="9">
        <v>0</v>
      </c>
      <c r="E68" s="9">
        <v>0</v>
      </c>
      <c r="F68" s="9"/>
      <c r="G68" s="9"/>
      <c r="H68" s="9"/>
      <c r="I68" s="9"/>
      <c r="J68" s="9"/>
      <c r="K68" s="9"/>
      <c r="L68" s="9"/>
      <c r="M68" s="9"/>
      <c r="N68" s="9"/>
      <c r="O68" s="9"/>
      <c r="P68" s="9"/>
      <c r="Q68" s="9"/>
      <c r="R68" s="9"/>
      <c r="S68" s="9"/>
      <c r="T68" s="9"/>
      <c r="U68" s="9"/>
      <c r="V68" s="9"/>
      <c r="W68" s="9"/>
      <c r="X68" s="9"/>
      <c r="Y68" s="9"/>
      <c r="Z68" s="9"/>
      <c r="AA68" s="9"/>
      <c r="AB68" s="9"/>
      <c r="AC68" s="9"/>
      <c r="AD68" s="272"/>
      <c r="AE68" s="247"/>
      <c r="AF68" s="241" t="s">
        <v>356</v>
      </c>
      <c r="AG68" s="242"/>
      <c r="AH68" s="4" t="s">
        <v>4817</v>
      </c>
    </row>
    <row r="69" spans="1:34" ht="11.25" hidden="1" customHeight="1" x14ac:dyDescent="0.2">
      <c r="A69" s="21">
        <v>36</v>
      </c>
      <c r="B69" s="9">
        <v>1</v>
      </c>
      <c r="C69" s="9">
        <v>36</v>
      </c>
      <c r="D69" s="9">
        <v>0</v>
      </c>
      <c r="E69" s="9">
        <v>0</v>
      </c>
      <c r="F69" s="9"/>
      <c r="G69" s="9"/>
      <c r="H69" s="9"/>
      <c r="I69" s="9"/>
      <c r="J69" s="9"/>
      <c r="K69" s="9"/>
      <c r="L69" s="9"/>
      <c r="M69" s="9"/>
      <c r="N69" s="9"/>
      <c r="O69" s="9"/>
      <c r="P69" s="9"/>
      <c r="Q69" s="9"/>
      <c r="R69" s="9"/>
      <c r="S69" s="9"/>
      <c r="T69" s="9"/>
      <c r="U69" s="9"/>
      <c r="V69" s="9"/>
      <c r="W69" s="9"/>
      <c r="X69" s="9"/>
      <c r="Y69" s="9"/>
      <c r="Z69" s="9"/>
      <c r="AA69" s="9"/>
      <c r="AB69" s="9"/>
      <c r="AC69" s="9"/>
      <c r="AD69" s="272"/>
      <c r="AE69" s="247"/>
      <c r="AF69" s="278" t="s">
        <v>357</v>
      </c>
      <c r="AG69" s="244"/>
      <c r="AH69" s="4"/>
    </row>
    <row r="70" spans="1:34" ht="11.25" hidden="1" customHeight="1" x14ac:dyDescent="0.2">
      <c r="A70" s="21">
        <v>37</v>
      </c>
      <c r="B70" s="9">
        <v>1</v>
      </c>
      <c r="C70" s="9">
        <v>37</v>
      </c>
      <c r="D70" s="9">
        <v>0</v>
      </c>
      <c r="E70" s="9">
        <v>0</v>
      </c>
      <c r="F70" s="9"/>
      <c r="G70" s="9"/>
      <c r="H70" s="9"/>
      <c r="I70" s="9"/>
      <c r="J70" s="9"/>
      <c r="K70" s="9"/>
      <c r="L70" s="9"/>
      <c r="M70" s="9"/>
      <c r="N70" s="9"/>
      <c r="O70" s="9"/>
      <c r="P70" s="9"/>
      <c r="Q70" s="9"/>
      <c r="R70" s="9"/>
      <c r="S70" s="9"/>
      <c r="T70" s="9"/>
      <c r="U70" s="9"/>
      <c r="V70" s="9"/>
      <c r="W70" s="9"/>
      <c r="X70" s="9"/>
      <c r="Y70" s="9"/>
      <c r="Z70" s="9"/>
      <c r="AA70" s="9"/>
      <c r="AB70" s="9"/>
      <c r="AC70" s="9"/>
      <c r="AD70" s="272"/>
      <c r="AE70" s="247"/>
      <c r="AF70" s="278" t="s">
        <v>576</v>
      </c>
      <c r="AG70" s="244"/>
      <c r="AH70" s="4"/>
    </row>
    <row r="71" spans="1:34" ht="11.25" hidden="1" customHeight="1" x14ac:dyDescent="0.2">
      <c r="A71" s="21">
        <v>38</v>
      </c>
      <c r="B71" s="9">
        <v>1</v>
      </c>
      <c r="C71" s="9">
        <v>38</v>
      </c>
      <c r="D71" s="9">
        <v>0</v>
      </c>
      <c r="E71" s="9">
        <v>0</v>
      </c>
      <c r="F71" s="9"/>
      <c r="G71" s="9"/>
      <c r="H71" s="9"/>
      <c r="I71" s="9"/>
      <c r="J71" s="9"/>
      <c r="K71" s="9"/>
      <c r="L71" s="9"/>
      <c r="M71" s="9"/>
      <c r="N71" s="9"/>
      <c r="O71" s="9"/>
      <c r="P71" s="9"/>
      <c r="Q71" s="9"/>
      <c r="R71" s="9"/>
      <c r="S71" s="9"/>
      <c r="T71" s="9"/>
      <c r="U71" s="9"/>
      <c r="V71" s="9"/>
      <c r="W71" s="9"/>
      <c r="X71" s="9"/>
      <c r="Y71" s="9"/>
      <c r="Z71" s="9"/>
      <c r="AA71" s="9"/>
      <c r="AB71" s="9"/>
      <c r="AC71" s="9"/>
      <c r="AD71" s="272"/>
      <c r="AE71" s="247"/>
      <c r="AF71" s="278" t="s">
        <v>577</v>
      </c>
      <c r="AG71" s="244"/>
      <c r="AH71" s="4"/>
    </row>
    <row r="72" spans="1:34" ht="11.25" hidden="1" customHeight="1" x14ac:dyDescent="0.2">
      <c r="A72" s="21">
        <v>39</v>
      </c>
      <c r="B72" s="9">
        <v>1</v>
      </c>
      <c r="C72" s="9">
        <v>39</v>
      </c>
      <c r="D72" s="9">
        <v>0</v>
      </c>
      <c r="E72" s="9">
        <v>0</v>
      </c>
      <c r="F72" s="9"/>
      <c r="G72" s="9"/>
      <c r="H72" s="9"/>
      <c r="I72" s="9"/>
      <c r="J72" s="9"/>
      <c r="K72" s="9"/>
      <c r="L72" s="9"/>
      <c r="M72" s="9"/>
      <c r="N72" s="9"/>
      <c r="O72" s="9"/>
      <c r="P72" s="9"/>
      <c r="Q72" s="9"/>
      <c r="R72" s="9"/>
      <c r="S72" s="9"/>
      <c r="T72" s="9"/>
      <c r="U72" s="9"/>
      <c r="V72" s="9"/>
      <c r="W72" s="9"/>
      <c r="X72" s="9"/>
      <c r="Y72" s="9"/>
      <c r="Z72" s="9"/>
      <c r="AA72" s="9"/>
      <c r="AB72" s="9"/>
      <c r="AC72" s="9"/>
      <c r="AD72" s="272"/>
      <c r="AE72" s="247"/>
      <c r="AF72" s="243" t="s">
        <v>707</v>
      </c>
      <c r="AG72" s="244"/>
      <c r="AH72" s="4"/>
    </row>
    <row r="73" spans="1:34" ht="11.25" hidden="1" customHeight="1" x14ac:dyDescent="0.2">
      <c r="A73" s="21">
        <v>40</v>
      </c>
      <c r="B73" s="9">
        <v>1</v>
      </c>
      <c r="C73" s="9">
        <v>40</v>
      </c>
      <c r="D73" s="9">
        <v>0</v>
      </c>
      <c r="E73" s="9">
        <v>0</v>
      </c>
      <c r="F73" s="9"/>
      <c r="G73" s="9"/>
      <c r="H73" s="9"/>
      <c r="I73" s="9"/>
      <c r="J73" s="9"/>
      <c r="K73" s="9"/>
      <c r="L73" s="9"/>
      <c r="M73" s="9"/>
      <c r="N73" s="9"/>
      <c r="O73" s="9"/>
      <c r="P73" s="9"/>
      <c r="Q73" s="9"/>
      <c r="R73" s="9"/>
      <c r="S73" s="9"/>
      <c r="T73" s="9"/>
      <c r="U73" s="9"/>
      <c r="V73" s="9"/>
      <c r="W73" s="9"/>
      <c r="X73" s="9"/>
      <c r="Y73" s="9"/>
      <c r="Z73" s="9"/>
      <c r="AA73" s="9"/>
      <c r="AB73" s="9"/>
      <c r="AC73" s="9"/>
      <c r="AD73" s="272"/>
      <c r="AE73" s="247"/>
      <c r="AF73" s="243" t="s">
        <v>31</v>
      </c>
      <c r="AG73" s="244"/>
      <c r="AH73" s="4"/>
    </row>
    <row r="74" spans="1:34" ht="11.25" hidden="1" customHeight="1" x14ac:dyDescent="0.2">
      <c r="A74" s="21">
        <v>41</v>
      </c>
      <c r="B74" s="9">
        <v>1</v>
      </c>
      <c r="C74" s="9">
        <v>41</v>
      </c>
      <c r="D74" s="9">
        <v>0</v>
      </c>
      <c r="E74" s="9">
        <v>0</v>
      </c>
      <c r="F74" s="9"/>
      <c r="G74" s="9"/>
      <c r="H74" s="9"/>
      <c r="I74" s="9"/>
      <c r="J74" s="9"/>
      <c r="K74" s="9"/>
      <c r="L74" s="9"/>
      <c r="M74" s="9"/>
      <c r="N74" s="9"/>
      <c r="O74" s="9"/>
      <c r="P74" s="9"/>
      <c r="Q74" s="9"/>
      <c r="R74" s="9"/>
      <c r="S74" s="9"/>
      <c r="T74" s="9"/>
      <c r="U74" s="9"/>
      <c r="V74" s="9"/>
      <c r="W74" s="9"/>
      <c r="X74" s="9"/>
      <c r="Y74" s="9"/>
      <c r="Z74" s="9"/>
      <c r="AA74" s="9"/>
      <c r="AB74" s="9"/>
      <c r="AC74" s="9"/>
      <c r="AD74" s="272"/>
      <c r="AE74" s="247"/>
      <c r="AF74" s="243"/>
      <c r="AG74" s="244"/>
      <c r="AH74" s="4"/>
    </row>
    <row r="75" spans="1:34" ht="11.25" hidden="1" customHeight="1" x14ac:dyDescent="0.2">
      <c r="A75" s="21">
        <v>42</v>
      </c>
      <c r="B75" s="9">
        <v>1</v>
      </c>
      <c r="C75" s="9">
        <v>42</v>
      </c>
      <c r="D75" s="9">
        <v>0</v>
      </c>
      <c r="E75" s="9">
        <v>0</v>
      </c>
      <c r="F75" s="9"/>
      <c r="G75" s="9"/>
      <c r="H75" s="9"/>
      <c r="I75" s="9"/>
      <c r="J75" s="9"/>
      <c r="K75" s="9"/>
      <c r="L75" s="9"/>
      <c r="M75" s="9"/>
      <c r="N75" s="9"/>
      <c r="O75" s="9"/>
      <c r="P75" s="9"/>
      <c r="Q75" s="9"/>
      <c r="R75" s="9"/>
      <c r="S75" s="9"/>
      <c r="T75" s="9"/>
      <c r="U75" s="9"/>
      <c r="V75" s="9"/>
      <c r="W75" s="9"/>
      <c r="X75" s="9"/>
      <c r="Y75" s="9"/>
      <c r="Z75" s="9"/>
      <c r="AA75" s="9"/>
      <c r="AB75" s="9"/>
      <c r="AC75" s="9"/>
      <c r="AD75" s="272"/>
      <c r="AE75" s="247"/>
      <c r="AF75" s="243"/>
      <c r="AG75" s="244"/>
      <c r="AH75" s="4"/>
    </row>
    <row r="76" spans="1:34" ht="11.25" hidden="1" customHeight="1" x14ac:dyDescent="0.2">
      <c r="A76" s="21">
        <v>43</v>
      </c>
      <c r="B76" s="9">
        <v>1</v>
      </c>
      <c r="C76" s="9">
        <v>43</v>
      </c>
      <c r="D76" s="9">
        <v>0</v>
      </c>
      <c r="E76" s="9">
        <v>0</v>
      </c>
      <c r="F76" s="9"/>
      <c r="G76" s="9"/>
      <c r="H76" s="9"/>
      <c r="I76" s="9"/>
      <c r="J76" s="9"/>
      <c r="K76" s="9"/>
      <c r="L76" s="9"/>
      <c r="M76" s="9"/>
      <c r="N76" s="9"/>
      <c r="O76" s="9"/>
      <c r="P76" s="9"/>
      <c r="Q76" s="9"/>
      <c r="R76" s="9"/>
      <c r="S76" s="9"/>
      <c r="T76" s="9"/>
      <c r="U76" s="9"/>
      <c r="V76" s="9"/>
      <c r="W76" s="9"/>
      <c r="X76" s="9"/>
      <c r="Y76" s="9"/>
      <c r="Z76" s="9"/>
      <c r="AA76" s="9"/>
      <c r="AB76" s="9"/>
      <c r="AC76" s="9"/>
      <c r="AD76" s="272"/>
      <c r="AE76" s="247"/>
      <c r="AF76" s="243"/>
      <c r="AG76" s="244"/>
      <c r="AH76" s="4"/>
    </row>
    <row r="77" spans="1:34" ht="11.25" hidden="1" customHeight="1" x14ac:dyDescent="0.2">
      <c r="A77" s="21">
        <v>44</v>
      </c>
      <c r="B77" s="9">
        <v>1</v>
      </c>
      <c r="C77" s="9">
        <v>44</v>
      </c>
      <c r="D77" s="9">
        <v>0</v>
      </c>
      <c r="E77" s="9">
        <v>0</v>
      </c>
      <c r="F77" s="9"/>
      <c r="G77" s="9"/>
      <c r="H77" s="9"/>
      <c r="I77" s="9"/>
      <c r="J77" s="9"/>
      <c r="K77" s="9"/>
      <c r="L77" s="9"/>
      <c r="M77" s="9"/>
      <c r="N77" s="9"/>
      <c r="O77" s="9"/>
      <c r="P77" s="9"/>
      <c r="Q77" s="9"/>
      <c r="R77" s="9"/>
      <c r="S77" s="9"/>
      <c r="T77" s="9"/>
      <c r="U77" s="9"/>
      <c r="V77" s="9"/>
      <c r="W77" s="9"/>
      <c r="X77" s="9"/>
      <c r="Y77" s="9"/>
      <c r="Z77" s="9"/>
      <c r="AA77" s="9"/>
      <c r="AB77" s="9"/>
      <c r="AC77" s="9"/>
      <c r="AD77" s="272"/>
      <c r="AE77" s="247"/>
      <c r="AF77" s="243"/>
      <c r="AG77" s="244"/>
      <c r="AH77" s="4"/>
    </row>
    <row r="78" spans="1:34" ht="11.25" hidden="1" customHeight="1" x14ac:dyDescent="0.2">
      <c r="A78" s="21">
        <v>45</v>
      </c>
      <c r="B78" s="9">
        <v>1</v>
      </c>
      <c r="C78" s="9">
        <v>45</v>
      </c>
      <c r="D78" s="9">
        <v>0</v>
      </c>
      <c r="E78" s="9">
        <v>0</v>
      </c>
      <c r="F78" s="9"/>
      <c r="G78" s="9"/>
      <c r="H78" s="9"/>
      <c r="I78" s="9"/>
      <c r="J78" s="9"/>
      <c r="K78" s="9"/>
      <c r="L78" s="9"/>
      <c r="M78" s="9"/>
      <c r="N78" s="9"/>
      <c r="O78" s="9"/>
      <c r="P78" s="9"/>
      <c r="Q78" s="9"/>
      <c r="R78" s="9"/>
      <c r="S78" s="9"/>
      <c r="T78" s="9"/>
      <c r="U78" s="9"/>
      <c r="V78" s="9"/>
      <c r="W78" s="9"/>
      <c r="X78" s="9"/>
      <c r="Y78" s="9"/>
      <c r="Z78" s="9"/>
      <c r="AA78" s="9"/>
      <c r="AB78" s="9"/>
      <c r="AC78" s="9"/>
      <c r="AD78" s="272"/>
      <c r="AE78" s="247"/>
      <c r="AF78" s="243"/>
      <c r="AG78" s="244"/>
      <c r="AH78" s="4"/>
    </row>
    <row r="79" spans="1:34" ht="11.25" hidden="1" customHeight="1" x14ac:dyDescent="0.2">
      <c r="A79" s="21">
        <v>46</v>
      </c>
      <c r="B79" s="9">
        <v>1</v>
      </c>
      <c r="C79" s="9">
        <v>46</v>
      </c>
      <c r="D79" s="9">
        <v>0</v>
      </c>
      <c r="E79" s="9">
        <v>0</v>
      </c>
      <c r="F79" s="9"/>
      <c r="G79" s="9"/>
      <c r="H79" s="9"/>
      <c r="I79" s="9"/>
      <c r="J79" s="9"/>
      <c r="K79" s="9"/>
      <c r="L79" s="9"/>
      <c r="M79" s="9"/>
      <c r="N79" s="9"/>
      <c r="O79" s="9"/>
      <c r="P79" s="9"/>
      <c r="Q79" s="9"/>
      <c r="R79" s="9"/>
      <c r="S79" s="9"/>
      <c r="T79" s="9"/>
      <c r="U79" s="9"/>
      <c r="V79" s="9"/>
      <c r="W79" s="9"/>
      <c r="X79" s="9"/>
      <c r="Y79" s="9"/>
      <c r="Z79" s="9"/>
      <c r="AA79" s="9"/>
      <c r="AB79" s="9"/>
      <c r="AC79" s="9"/>
      <c r="AD79" s="272"/>
      <c r="AE79" s="247"/>
      <c r="AF79" s="243"/>
      <c r="AG79" s="244"/>
      <c r="AH79" s="4"/>
    </row>
    <row r="80" spans="1:34" ht="11.25" hidden="1" customHeight="1" x14ac:dyDescent="0.2">
      <c r="A80" s="21">
        <v>47</v>
      </c>
      <c r="B80" s="9">
        <v>1</v>
      </c>
      <c r="C80" s="9">
        <v>47</v>
      </c>
      <c r="D80" s="9">
        <v>0</v>
      </c>
      <c r="E80" s="9">
        <v>0</v>
      </c>
      <c r="F80" s="9"/>
      <c r="G80" s="9"/>
      <c r="H80" s="9"/>
      <c r="I80" s="9"/>
      <c r="J80" s="9"/>
      <c r="K80" s="9"/>
      <c r="L80" s="9"/>
      <c r="M80" s="9"/>
      <c r="N80" s="9"/>
      <c r="O80" s="9"/>
      <c r="P80" s="9"/>
      <c r="Q80" s="9"/>
      <c r="R80" s="9"/>
      <c r="S80" s="9"/>
      <c r="T80" s="9"/>
      <c r="U80" s="9"/>
      <c r="V80" s="9"/>
      <c r="W80" s="9"/>
      <c r="X80" s="9"/>
      <c r="Y80" s="9"/>
      <c r="Z80" s="9"/>
      <c r="AA80" s="9"/>
      <c r="AB80" s="9"/>
      <c r="AC80" s="9"/>
      <c r="AD80" s="272"/>
      <c r="AE80" s="247"/>
      <c r="AF80" s="243"/>
      <c r="AG80" s="244"/>
      <c r="AH80" s="4"/>
    </row>
    <row r="81" spans="1:53" ht="11.25" hidden="1" customHeight="1" x14ac:dyDescent="0.2">
      <c r="A81" s="21">
        <v>48</v>
      </c>
      <c r="B81" s="9">
        <v>1</v>
      </c>
      <c r="C81" s="9">
        <v>48</v>
      </c>
      <c r="D81" s="9">
        <v>0</v>
      </c>
      <c r="E81" s="9">
        <v>0</v>
      </c>
      <c r="F81" s="9"/>
      <c r="G81" s="9"/>
      <c r="H81" s="9"/>
      <c r="I81" s="9"/>
      <c r="J81" s="9"/>
      <c r="K81" s="9"/>
      <c r="L81" s="9"/>
      <c r="M81" s="9"/>
      <c r="N81" s="9"/>
      <c r="O81" s="9"/>
      <c r="P81" s="9"/>
      <c r="Q81" s="9"/>
      <c r="R81" s="9"/>
      <c r="S81" s="9"/>
      <c r="T81" s="9"/>
      <c r="U81" s="9"/>
      <c r="V81" s="9"/>
      <c r="W81" s="9"/>
      <c r="X81" s="9"/>
      <c r="Y81" s="9"/>
      <c r="Z81" s="9"/>
      <c r="AA81" s="9"/>
      <c r="AB81" s="9"/>
      <c r="AC81" s="9"/>
      <c r="AD81" s="272"/>
      <c r="AE81" s="247"/>
      <c r="AF81" s="243"/>
      <c r="AG81" s="244"/>
      <c r="AH81" s="4"/>
    </row>
    <row r="82" spans="1:53" ht="11.25" hidden="1" customHeight="1" x14ac:dyDescent="0.2">
      <c r="A82" s="21">
        <v>49</v>
      </c>
      <c r="B82" s="9">
        <v>1</v>
      </c>
      <c r="C82" s="9">
        <v>49</v>
      </c>
      <c r="D82" s="9">
        <v>0</v>
      </c>
      <c r="E82" s="9">
        <v>0</v>
      </c>
      <c r="F82" s="9"/>
      <c r="G82" s="9"/>
      <c r="H82" s="9"/>
      <c r="I82" s="9"/>
      <c r="J82" s="9"/>
      <c r="K82" s="9"/>
      <c r="L82" s="9"/>
      <c r="M82" s="9"/>
      <c r="N82" s="9"/>
      <c r="O82" s="9"/>
      <c r="P82" s="9"/>
      <c r="Q82" s="9"/>
      <c r="R82" s="9"/>
      <c r="S82" s="9"/>
      <c r="T82" s="9"/>
      <c r="U82" s="9"/>
      <c r="V82" s="9"/>
      <c r="W82" s="9"/>
      <c r="X82" s="9"/>
      <c r="Y82" s="9"/>
      <c r="Z82" s="9"/>
      <c r="AA82" s="9"/>
      <c r="AB82" s="9"/>
      <c r="AC82" s="9"/>
      <c r="AD82" s="272"/>
      <c r="AE82" s="247"/>
      <c r="AF82" s="243"/>
      <c r="AG82" s="244"/>
      <c r="AH82" s="4"/>
    </row>
    <row r="83" spans="1:53" ht="11.25" hidden="1" customHeight="1" x14ac:dyDescent="0.2">
      <c r="A83" s="21">
        <v>50</v>
      </c>
      <c r="B83" s="9">
        <v>1</v>
      </c>
      <c r="C83" s="9">
        <v>50</v>
      </c>
      <c r="D83" s="9">
        <v>0</v>
      </c>
      <c r="E83" s="9">
        <v>0</v>
      </c>
      <c r="F83" s="9"/>
      <c r="G83" s="9"/>
      <c r="H83" s="9"/>
      <c r="I83" s="9"/>
      <c r="J83" s="9"/>
      <c r="K83" s="9"/>
      <c r="L83" s="9"/>
      <c r="M83" s="9"/>
      <c r="N83" s="9"/>
      <c r="O83" s="9"/>
      <c r="P83" s="9"/>
      <c r="Q83" s="9"/>
      <c r="R83" s="9"/>
      <c r="S83" s="9"/>
      <c r="T83" s="9"/>
      <c r="U83" s="9"/>
      <c r="V83" s="9"/>
      <c r="W83" s="9"/>
      <c r="X83" s="9"/>
      <c r="Y83" s="9"/>
      <c r="Z83" s="9"/>
      <c r="AA83" s="9"/>
      <c r="AB83" s="9"/>
      <c r="AC83" s="9"/>
      <c r="AD83" s="272"/>
      <c r="AE83" s="247"/>
      <c r="AF83" s="281"/>
      <c r="AG83" s="282"/>
      <c r="AH83" s="4"/>
    </row>
    <row r="84" spans="1:53" ht="11.25" customHeight="1" x14ac:dyDescent="0.2">
      <c r="A84" s="21">
        <v>52</v>
      </c>
      <c r="B84" s="16">
        <v>2</v>
      </c>
      <c r="C84" s="16">
        <v>1</v>
      </c>
      <c r="D84" s="16">
        <v>-1</v>
      </c>
      <c r="E84" s="16">
        <v>-1</v>
      </c>
      <c r="F84" s="16" t="s">
        <v>531</v>
      </c>
      <c r="G84" s="16"/>
      <c r="H84" s="16" t="s">
        <v>97</v>
      </c>
      <c r="I84" s="16" t="s">
        <v>94</v>
      </c>
      <c r="J84" s="16" t="s">
        <v>588</v>
      </c>
      <c r="K84" s="34" t="s">
        <v>97</v>
      </c>
      <c r="L84" s="16" t="s">
        <v>600</v>
      </c>
      <c r="M84" s="16" t="s">
        <v>207</v>
      </c>
      <c r="N84" s="16"/>
      <c r="O84" s="34" t="s">
        <v>518</v>
      </c>
      <c r="P84" s="16"/>
      <c r="Q84" s="16" t="s">
        <v>594</v>
      </c>
      <c r="R84" s="16" t="s">
        <v>604</v>
      </c>
      <c r="S84" s="16">
        <v>24</v>
      </c>
      <c r="T84" s="16"/>
      <c r="U84" s="16"/>
      <c r="V84" s="16"/>
      <c r="W84" s="16"/>
      <c r="X84" s="16"/>
      <c r="Y84" s="16"/>
      <c r="Z84" s="16"/>
      <c r="AA84" s="16"/>
      <c r="AB84" s="16" t="s">
        <v>2806</v>
      </c>
      <c r="AC84" s="16"/>
      <c r="AD84" s="272"/>
      <c r="AE84" s="269" t="str">
        <f>Admin!$D$4</f>
        <v>GENERAL</v>
      </c>
      <c r="AF84" s="225" t="s">
        <v>527</v>
      </c>
      <c r="AG84" s="225"/>
      <c r="AI84" s="159" t="s">
        <v>57</v>
      </c>
      <c r="AJ84" s="159" t="s">
        <v>57</v>
      </c>
      <c r="AK84" s="159" t="s">
        <v>57</v>
      </c>
      <c r="AL84" s="159" t="s">
        <v>57</v>
      </c>
      <c r="AM84" s="159" t="s">
        <v>57</v>
      </c>
      <c r="AN84" s="159" t="s">
        <v>57</v>
      </c>
      <c r="AO84" s="159" t="s">
        <v>57</v>
      </c>
      <c r="AP84" s="363">
        <v>43417.443055555559</v>
      </c>
      <c r="AQ84" s="363">
        <v>43417.472916666666</v>
      </c>
      <c r="AR84" s="363">
        <v>43417.497916666667</v>
      </c>
      <c r="AS84" s="363">
        <v>43417.536111111112</v>
      </c>
      <c r="AT84" s="363">
        <v>43417.559027777781</v>
      </c>
      <c r="AU84" s="363">
        <v>43417.584722222222</v>
      </c>
      <c r="AV84" s="363">
        <v>43417.927083333336</v>
      </c>
      <c r="AW84" s="159" t="s">
        <v>57</v>
      </c>
      <c r="AX84" s="159" t="s">
        <v>57</v>
      </c>
      <c r="AY84" s="159" t="s">
        <v>57</v>
      </c>
      <c r="AZ84" s="159" t="s">
        <v>57</v>
      </c>
      <c r="BA84" s="159" t="s">
        <v>57</v>
      </c>
    </row>
    <row r="85" spans="1:53" ht="11.25" customHeight="1" x14ac:dyDescent="0.2">
      <c r="A85" s="21">
        <v>53</v>
      </c>
      <c r="B85" s="16">
        <v>2</v>
      </c>
      <c r="C85" s="16">
        <v>2</v>
      </c>
      <c r="D85" s="16">
        <v>-1</v>
      </c>
      <c r="E85" s="16">
        <v>-1</v>
      </c>
      <c r="F85" s="16"/>
      <c r="G85" s="16"/>
      <c r="H85" s="16"/>
      <c r="I85" s="16"/>
      <c r="J85" s="16" t="s">
        <v>588</v>
      </c>
      <c r="K85" s="16" t="s">
        <v>588</v>
      </c>
      <c r="L85" s="16" t="s">
        <v>103</v>
      </c>
      <c r="M85" s="16" t="s">
        <v>207</v>
      </c>
      <c r="N85" s="16"/>
      <c r="O85" s="27" t="s">
        <v>519</v>
      </c>
      <c r="P85" s="16" t="s">
        <v>207</v>
      </c>
      <c r="Q85" s="16"/>
      <c r="R85" s="16"/>
      <c r="S85" s="16">
        <v>24</v>
      </c>
      <c r="T85" s="16" t="s">
        <v>95</v>
      </c>
      <c r="U85" s="16" t="s">
        <v>595</v>
      </c>
      <c r="V85" s="16">
        <v>1</v>
      </c>
      <c r="W85" s="16"/>
      <c r="X85" s="16"/>
      <c r="Y85" s="16"/>
      <c r="Z85" s="16"/>
      <c r="AA85" s="16"/>
      <c r="AB85" s="16" t="s">
        <v>2806</v>
      </c>
      <c r="AC85" s="16"/>
      <c r="AD85" s="272"/>
      <c r="AE85" s="270"/>
      <c r="AF85" s="225" t="s">
        <v>144</v>
      </c>
      <c r="AG85" s="225"/>
      <c r="AI85" s="159" t="s">
        <v>57</v>
      </c>
      <c r="AJ85" s="159" t="s">
        <v>57</v>
      </c>
      <c r="AK85" s="159" t="s">
        <v>57</v>
      </c>
      <c r="AL85" s="159" t="s">
        <v>57</v>
      </c>
      <c r="AM85" s="159" t="s">
        <v>57</v>
      </c>
      <c r="AN85" s="159" t="s">
        <v>57</v>
      </c>
      <c r="AO85" s="159" t="s">
        <v>57</v>
      </c>
      <c r="AP85" s="160" t="s">
        <v>807</v>
      </c>
      <c r="AQ85" s="160" t="s">
        <v>807</v>
      </c>
      <c r="AR85" s="160" t="s">
        <v>807</v>
      </c>
      <c r="AS85" s="160" t="s">
        <v>807</v>
      </c>
      <c r="AT85" s="160" t="s">
        <v>807</v>
      </c>
      <c r="AU85" s="160" t="s">
        <v>807</v>
      </c>
      <c r="AV85" s="160" t="s">
        <v>807</v>
      </c>
      <c r="AW85" s="159" t="s">
        <v>57</v>
      </c>
      <c r="AX85" s="159" t="s">
        <v>57</v>
      </c>
      <c r="AY85" s="159" t="s">
        <v>57</v>
      </c>
      <c r="AZ85" s="159" t="s">
        <v>57</v>
      </c>
      <c r="BA85" s="159" t="s">
        <v>57</v>
      </c>
    </row>
    <row r="86" spans="1:53" ht="11.25" hidden="1" customHeight="1" x14ac:dyDescent="0.2">
      <c r="A86" s="21">
        <v>54</v>
      </c>
      <c r="B86" s="16">
        <v>2</v>
      </c>
      <c r="C86" s="16">
        <v>3</v>
      </c>
      <c r="D86" s="16">
        <v>0</v>
      </c>
      <c r="E86" s="16">
        <v>0</v>
      </c>
      <c r="F86" s="16"/>
      <c r="G86" s="16"/>
      <c r="H86" s="16"/>
      <c r="I86" s="16"/>
      <c r="J86" s="16" t="s">
        <v>588</v>
      </c>
      <c r="K86" s="16" t="s">
        <v>588</v>
      </c>
      <c r="L86" s="16" t="s">
        <v>103</v>
      </c>
      <c r="M86" s="16"/>
      <c r="N86" s="16"/>
      <c r="O86" s="27" t="s">
        <v>520</v>
      </c>
      <c r="P86" s="16" t="s">
        <v>207</v>
      </c>
      <c r="Q86" s="16"/>
      <c r="R86" s="16"/>
      <c r="S86" s="16">
        <v>24</v>
      </c>
      <c r="T86" s="16" t="s">
        <v>95</v>
      </c>
      <c r="U86" s="16" t="s">
        <v>598</v>
      </c>
      <c r="V86" s="16">
        <v>1</v>
      </c>
      <c r="W86" s="16"/>
      <c r="X86" s="16"/>
      <c r="Y86" s="16"/>
      <c r="Z86" s="16"/>
      <c r="AA86" s="16"/>
      <c r="AB86" s="16" t="s">
        <v>2813</v>
      </c>
      <c r="AC86" s="16"/>
      <c r="AD86" s="272"/>
      <c r="AE86" s="270"/>
      <c r="AF86" s="225" t="s">
        <v>145</v>
      </c>
      <c r="AG86" s="225"/>
    </row>
    <row r="87" spans="1:53" ht="11.25" hidden="1" customHeight="1" x14ac:dyDescent="0.2">
      <c r="A87" s="21">
        <v>55</v>
      </c>
      <c r="B87" s="16">
        <v>2</v>
      </c>
      <c r="C87" s="16">
        <v>4</v>
      </c>
      <c r="D87" s="16">
        <v>0</v>
      </c>
      <c r="E87" s="16">
        <v>0</v>
      </c>
      <c r="F87" s="16"/>
      <c r="G87" s="16"/>
      <c r="H87" s="16"/>
      <c r="I87" s="16"/>
      <c r="J87" s="16" t="s">
        <v>588</v>
      </c>
      <c r="K87" s="16" t="s">
        <v>588</v>
      </c>
      <c r="L87" s="16" t="s">
        <v>103</v>
      </c>
      <c r="M87" s="16"/>
      <c r="N87" s="16"/>
      <c r="O87" s="27" t="s">
        <v>521</v>
      </c>
      <c r="P87" s="16" t="s">
        <v>207</v>
      </c>
      <c r="Q87" s="16"/>
      <c r="R87" s="16"/>
      <c r="S87" s="16">
        <v>24</v>
      </c>
      <c r="T87" s="16" t="s">
        <v>95</v>
      </c>
      <c r="U87" s="16" t="s">
        <v>596</v>
      </c>
      <c r="V87" s="16">
        <v>1</v>
      </c>
      <c r="W87" s="16"/>
      <c r="X87" s="16"/>
      <c r="Y87" s="16"/>
      <c r="Z87" s="16"/>
      <c r="AA87" s="16"/>
      <c r="AB87" s="16" t="s">
        <v>2807</v>
      </c>
      <c r="AC87" s="16"/>
      <c r="AD87" s="272"/>
      <c r="AE87" s="270"/>
      <c r="AF87" s="225" t="s">
        <v>146</v>
      </c>
      <c r="AG87" s="225"/>
    </row>
    <row r="88" spans="1:53" ht="11.25" customHeight="1" x14ac:dyDescent="0.2">
      <c r="A88" s="21">
        <v>56</v>
      </c>
      <c r="B88" s="16">
        <v>2</v>
      </c>
      <c r="C88" s="16">
        <v>5</v>
      </c>
      <c r="D88" s="16">
        <v>-1</v>
      </c>
      <c r="E88" s="16">
        <v>-1</v>
      </c>
      <c r="F88" s="16"/>
      <c r="G88" s="16"/>
      <c r="H88" s="16" t="s">
        <v>588</v>
      </c>
      <c r="I88" s="16" t="s">
        <v>94</v>
      </c>
      <c r="J88" s="16" t="s">
        <v>588</v>
      </c>
      <c r="K88" s="16" t="s">
        <v>588</v>
      </c>
      <c r="L88" s="16" t="s">
        <v>605</v>
      </c>
      <c r="M88" s="16"/>
      <c r="N88" s="16"/>
      <c r="O88" s="27" t="s">
        <v>522</v>
      </c>
      <c r="P88" s="16"/>
      <c r="Q88" s="16" t="s">
        <v>594</v>
      </c>
      <c r="R88" s="16" t="s">
        <v>609</v>
      </c>
      <c r="S88" s="16">
        <v>24</v>
      </c>
      <c r="T88" s="16"/>
      <c r="U88" s="16"/>
      <c r="V88" s="16"/>
      <c r="W88" s="16"/>
      <c r="X88" s="16"/>
      <c r="Y88" s="16"/>
      <c r="Z88" s="16"/>
      <c r="AA88" s="16"/>
      <c r="AB88" s="16" t="s">
        <v>1745</v>
      </c>
      <c r="AC88" s="16"/>
      <c r="AD88" s="272"/>
      <c r="AE88" s="270"/>
      <c r="AF88" s="225" t="s">
        <v>147</v>
      </c>
      <c r="AG88" s="225"/>
      <c r="AI88" s="159" t="s">
        <v>57</v>
      </c>
      <c r="AJ88" s="159" t="s">
        <v>57</v>
      </c>
      <c r="AK88" s="159" t="s">
        <v>57</v>
      </c>
      <c r="AL88" s="159" t="s">
        <v>57</v>
      </c>
      <c r="AM88" s="159" t="s">
        <v>57</v>
      </c>
      <c r="AN88" s="159" t="s">
        <v>57</v>
      </c>
      <c r="AO88" s="159" t="s">
        <v>57</v>
      </c>
      <c r="AP88" s="203" t="s">
        <v>99</v>
      </c>
      <c r="AQ88" s="203" t="s">
        <v>99</v>
      </c>
      <c r="AR88" s="203" t="s">
        <v>99</v>
      </c>
      <c r="AS88" s="203" t="s">
        <v>99</v>
      </c>
      <c r="AT88" s="203" t="s">
        <v>99</v>
      </c>
      <c r="AU88" s="203" t="s">
        <v>99</v>
      </c>
      <c r="AV88" s="203" t="s">
        <v>359</v>
      </c>
      <c r="AW88" s="159" t="s">
        <v>57</v>
      </c>
      <c r="AX88" s="159" t="s">
        <v>57</v>
      </c>
      <c r="AY88" s="159" t="s">
        <v>57</v>
      </c>
      <c r="AZ88" s="159" t="s">
        <v>57</v>
      </c>
      <c r="BA88" s="159" t="s">
        <v>57</v>
      </c>
    </row>
    <row r="89" spans="1:53" ht="11.25" customHeight="1" x14ac:dyDescent="0.2">
      <c r="A89" s="21">
        <v>57</v>
      </c>
      <c r="B89" s="16">
        <v>2</v>
      </c>
      <c r="C89" s="16">
        <v>6</v>
      </c>
      <c r="D89" s="16">
        <v>-1</v>
      </c>
      <c r="E89" s="16">
        <v>-1</v>
      </c>
      <c r="F89" s="16"/>
      <c r="G89" s="16"/>
      <c r="H89" s="16" t="s">
        <v>588</v>
      </c>
      <c r="I89" s="16" t="s">
        <v>94</v>
      </c>
      <c r="J89" s="16" t="s">
        <v>588</v>
      </c>
      <c r="K89" s="16" t="s">
        <v>588</v>
      </c>
      <c r="L89" s="16" t="s">
        <v>605</v>
      </c>
      <c r="M89" s="16" t="s">
        <v>207</v>
      </c>
      <c r="N89" s="16"/>
      <c r="O89" s="16"/>
      <c r="P89" s="16" t="s">
        <v>207</v>
      </c>
      <c r="Q89" s="16" t="s">
        <v>494</v>
      </c>
      <c r="R89" s="16" t="s">
        <v>298</v>
      </c>
      <c r="S89" s="16">
        <v>22</v>
      </c>
      <c r="T89" s="16"/>
      <c r="U89" s="16"/>
      <c r="V89" s="16"/>
      <c r="W89" s="16"/>
      <c r="X89" s="16"/>
      <c r="Y89" s="16"/>
      <c r="Z89" s="16"/>
      <c r="AA89" s="16"/>
      <c r="AB89" s="16" t="s">
        <v>1745</v>
      </c>
      <c r="AC89" s="16"/>
      <c r="AD89" s="272"/>
      <c r="AE89" s="270"/>
      <c r="AF89" s="225" t="s">
        <v>148</v>
      </c>
      <c r="AG89" s="225"/>
      <c r="AI89" s="159" t="s">
        <v>57</v>
      </c>
      <c r="AJ89" s="159" t="s">
        <v>57</v>
      </c>
      <c r="AK89" s="159" t="s">
        <v>57</v>
      </c>
      <c r="AL89" s="159" t="s">
        <v>57</v>
      </c>
      <c r="AM89" s="159" t="s">
        <v>57</v>
      </c>
      <c r="AN89" s="159" t="s">
        <v>57</v>
      </c>
      <c r="AO89" s="159" t="s">
        <v>57</v>
      </c>
      <c r="AP89" s="203" t="s">
        <v>4348</v>
      </c>
      <c r="AQ89" s="203" t="s">
        <v>4348</v>
      </c>
      <c r="AR89" s="203" t="s">
        <v>4348</v>
      </c>
      <c r="AS89" s="203" t="s">
        <v>4348</v>
      </c>
      <c r="AT89" s="203" t="s">
        <v>4348</v>
      </c>
      <c r="AU89" s="203" t="s">
        <v>4348</v>
      </c>
      <c r="AV89" s="203" t="s">
        <v>4348</v>
      </c>
      <c r="AW89" s="159" t="s">
        <v>57</v>
      </c>
      <c r="AX89" s="159" t="s">
        <v>57</v>
      </c>
      <c r="AY89" s="159" t="s">
        <v>57</v>
      </c>
      <c r="AZ89" s="159" t="s">
        <v>57</v>
      </c>
      <c r="BA89" s="159" t="s">
        <v>57</v>
      </c>
    </row>
    <row r="90" spans="1:53" ht="11.25" customHeight="1" x14ac:dyDescent="0.2">
      <c r="A90" s="21">
        <v>58</v>
      </c>
      <c r="B90" s="16">
        <v>2</v>
      </c>
      <c r="C90" s="16">
        <v>7</v>
      </c>
      <c r="D90" s="16">
        <v>-1</v>
      </c>
      <c r="E90" s="16">
        <v>-1</v>
      </c>
      <c r="F90" s="16"/>
      <c r="G90" s="16"/>
      <c r="H90" s="16"/>
      <c r="I90" s="16"/>
      <c r="J90" s="16" t="s">
        <v>588</v>
      </c>
      <c r="K90" s="16" t="s">
        <v>588</v>
      </c>
      <c r="L90" s="16" t="s">
        <v>98</v>
      </c>
      <c r="M90" s="16" t="s">
        <v>207</v>
      </c>
      <c r="N90" s="16"/>
      <c r="O90" s="27" t="s">
        <v>524</v>
      </c>
      <c r="P90" s="16" t="s">
        <v>207</v>
      </c>
      <c r="Q90" s="16"/>
      <c r="R90" s="16"/>
      <c r="S90" s="16">
        <v>24</v>
      </c>
      <c r="T90" s="16" t="s">
        <v>95</v>
      </c>
      <c r="U90" s="16" t="s">
        <v>601</v>
      </c>
      <c r="V90" s="16">
        <v>1</v>
      </c>
      <c r="W90" s="16"/>
      <c r="X90" s="16"/>
      <c r="Y90" s="16"/>
      <c r="Z90" s="16"/>
      <c r="AA90" s="16"/>
      <c r="AB90" s="16" t="s">
        <v>1745</v>
      </c>
      <c r="AC90" s="16"/>
      <c r="AD90" s="272"/>
      <c r="AE90" s="270"/>
      <c r="AF90" s="225" t="s">
        <v>380</v>
      </c>
      <c r="AG90" s="225"/>
      <c r="AI90" s="159" t="s">
        <v>57</v>
      </c>
      <c r="AJ90" s="159" t="s">
        <v>57</v>
      </c>
      <c r="AK90" s="159" t="s">
        <v>57</v>
      </c>
      <c r="AL90" s="159" t="s">
        <v>57</v>
      </c>
      <c r="AM90" s="159" t="s">
        <v>57</v>
      </c>
      <c r="AN90" s="159" t="s">
        <v>57</v>
      </c>
      <c r="AO90" s="159" t="s">
        <v>57</v>
      </c>
      <c r="AP90" s="203" t="s">
        <v>831</v>
      </c>
      <c r="AQ90" s="203" t="s">
        <v>831</v>
      </c>
      <c r="AR90" s="203" t="s">
        <v>831</v>
      </c>
      <c r="AS90" s="203" t="s">
        <v>831</v>
      </c>
      <c r="AT90" s="203" t="s">
        <v>831</v>
      </c>
      <c r="AU90" s="203" t="s">
        <v>831</v>
      </c>
      <c r="AV90" s="203" t="s">
        <v>1593</v>
      </c>
      <c r="AW90" s="159" t="s">
        <v>57</v>
      </c>
      <c r="AX90" s="159" t="s">
        <v>57</v>
      </c>
      <c r="AY90" s="159" t="s">
        <v>57</v>
      </c>
      <c r="AZ90" s="159" t="s">
        <v>57</v>
      </c>
      <c r="BA90" s="159" t="s">
        <v>57</v>
      </c>
    </row>
    <row r="91" spans="1:53" ht="11.25" customHeight="1" x14ac:dyDescent="0.2">
      <c r="A91" s="21">
        <v>59</v>
      </c>
      <c r="B91" s="16">
        <v>2</v>
      </c>
      <c r="C91" s="16">
        <v>8</v>
      </c>
      <c r="D91" s="16">
        <v>-1</v>
      </c>
      <c r="E91" s="16">
        <v>-1</v>
      </c>
      <c r="F91" s="16"/>
      <c r="G91" s="16"/>
      <c r="H91" s="16"/>
      <c r="I91" s="16"/>
      <c r="J91" s="16" t="s">
        <v>588</v>
      </c>
      <c r="K91" s="16" t="s">
        <v>94</v>
      </c>
      <c r="L91" s="16" t="s">
        <v>103</v>
      </c>
      <c r="M91" s="16" t="s">
        <v>96</v>
      </c>
      <c r="N91" s="16"/>
      <c r="O91" s="16" t="s">
        <v>526</v>
      </c>
      <c r="P91" s="16"/>
      <c r="Q91" s="16"/>
      <c r="R91" s="16"/>
      <c r="S91" s="16">
        <v>24</v>
      </c>
      <c r="T91" s="16" t="s">
        <v>95</v>
      </c>
      <c r="U91" s="16" t="s">
        <v>602</v>
      </c>
      <c r="V91" s="16">
        <v>1</v>
      </c>
      <c r="W91" s="16"/>
      <c r="X91" s="16"/>
      <c r="Y91" s="16"/>
      <c r="Z91" s="16"/>
      <c r="AA91" s="16"/>
      <c r="AB91" s="16" t="s">
        <v>2814</v>
      </c>
      <c r="AC91" s="16"/>
      <c r="AD91" s="272"/>
      <c r="AE91" s="270"/>
      <c r="AF91" s="225" t="s">
        <v>27</v>
      </c>
      <c r="AG91" s="225"/>
      <c r="AI91" s="159" t="s">
        <v>57</v>
      </c>
      <c r="AJ91" s="159" t="s">
        <v>57</v>
      </c>
      <c r="AK91" s="159" t="s">
        <v>57</v>
      </c>
      <c r="AL91" s="159" t="s">
        <v>57</v>
      </c>
      <c r="AM91" s="159" t="s">
        <v>57</v>
      </c>
      <c r="AN91" s="159" t="s">
        <v>57</v>
      </c>
      <c r="AO91" s="159" t="s">
        <v>57</v>
      </c>
      <c r="AP91" s="160"/>
      <c r="AQ91" s="160"/>
      <c r="AR91" s="160"/>
      <c r="AS91" s="160"/>
      <c r="AT91" s="160"/>
      <c r="AU91" s="160"/>
      <c r="AV91" s="160"/>
      <c r="AW91" s="159" t="s">
        <v>57</v>
      </c>
      <c r="AX91" s="159" t="s">
        <v>57</v>
      </c>
      <c r="AY91" s="159" t="s">
        <v>57</v>
      </c>
      <c r="AZ91" s="159" t="s">
        <v>57</v>
      </c>
      <c r="BA91" s="159" t="s">
        <v>57</v>
      </c>
    </row>
    <row r="92" spans="1:53" ht="11.25" customHeight="1" x14ac:dyDescent="0.2">
      <c r="A92" s="21">
        <v>60</v>
      </c>
      <c r="B92" s="16">
        <v>2</v>
      </c>
      <c r="C92" s="16">
        <v>9</v>
      </c>
      <c r="D92" s="16">
        <v>-1</v>
      </c>
      <c r="E92" s="16">
        <v>-1</v>
      </c>
      <c r="F92" s="16"/>
      <c r="G92" s="16"/>
      <c r="H92" s="16"/>
      <c r="I92" s="16"/>
      <c r="J92" s="16" t="s">
        <v>588</v>
      </c>
      <c r="K92" s="16" t="s">
        <v>94</v>
      </c>
      <c r="L92" s="16" t="s">
        <v>103</v>
      </c>
      <c r="M92" s="16" t="s">
        <v>96</v>
      </c>
      <c r="N92" s="16"/>
      <c r="O92" s="16" t="s">
        <v>526</v>
      </c>
      <c r="P92" s="16"/>
      <c r="Q92" s="16"/>
      <c r="R92" s="16"/>
      <c r="S92" s="16">
        <v>24</v>
      </c>
      <c r="T92" s="16" t="s">
        <v>95</v>
      </c>
      <c r="U92" s="16" t="s">
        <v>603</v>
      </c>
      <c r="V92" s="16">
        <v>1</v>
      </c>
      <c r="W92" s="16"/>
      <c r="X92" s="16"/>
      <c r="Y92" s="16"/>
      <c r="Z92" s="16"/>
      <c r="AA92" s="16"/>
      <c r="AB92" s="16" t="s">
        <v>2807</v>
      </c>
      <c r="AC92" s="16"/>
      <c r="AD92" s="272"/>
      <c r="AE92" s="270"/>
      <c r="AF92" s="225" t="s">
        <v>28</v>
      </c>
      <c r="AG92" s="225"/>
      <c r="AI92" s="159" t="s">
        <v>57</v>
      </c>
      <c r="AJ92" s="159" t="s">
        <v>57</v>
      </c>
      <c r="AK92" s="159" t="s">
        <v>57</v>
      </c>
      <c r="AL92" s="159" t="s">
        <v>57</v>
      </c>
      <c r="AM92" s="159" t="s">
        <v>57</v>
      </c>
      <c r="AN92" s="159" t="s">
        <v>57</v>
      </c>
      <c r="AO92" s="159" t="s">
        <v>57</v>
      </c>
      <c r="AP92" s="160"/>
      <c r="AQ92" s="160"/>
      <c r="AR92" s="160"/>
      <c r="AS92" s="160"/>
      <c r="AT92" s="160"/>
      <c r="AU92" s="160"/>
      <c r="AV92" s="160"/>
      <c r="AW92" s="159" t="s">
        <v>57</v>
      </c>
      <c r="AX92" s="159" t="s">
        <v>57</v>
      </c>
      <c r="AY92" s="159" t="s">
        <v>57</v>
      </c>
      <c r="AZ92" s="159" t="s">
        <v>57</v>
      </c>
      <c r="BA92" s="159" t="s">
        <v>57</v>
      </c>
    </row>
    <row r="93" spans="1:53" ht="11.25" customHeight="1" x14ac:dyDescent="0.2">
      <c r="A93" s="21">
        <v>61</v>
      </c>
      <c r="B93" s="16">
        <v>2</v>
      </c>
      <c r="C93" s="16">
        <v>10</v>
      </c>
      <c r="D93" s="16">
        <v>-1</v>
      </c>
      <c r="E93" s="16">
        <v>-1</v>
      </c>
      <c r="F93" s="16"/>
      <c r="G93" s="16"/>
      <c r="H93" s="16"/>
      <c r="I93" s="16"/>
      <c r="J93" s="16" t="s">
        <v>588</v>
      </c>
      <c r="K93" s="16" t="s">
        <v>94</v>
      </c>
      <c r="L93" s="16" t="s">
        <v>103</v>
      </c>
      <c r="M93" s="16" t="s">
        <v>96</v>
      </c>
      <c r="N93" s="16"/>
      <c r="O93" s="16" t="s">
        <v>1472</v>
      </c>
      <c r="P93" s="16"/>
      <c r="Q93" s="16"/>
      <c r="R93" s="16"/>
      <c r="S93" s="16">
        <v>24</v>
      </c>
      <c r="T93" s="16" t="s">
        <v>95</v>
      </c>
      <c r="U93" s="16" t="s">
        <v>606</v>
      </c>
      <c r="V93" s="16">
        <v>1</v>
      </c>
      <c r="W93" s="16"/>
      <c r="X93" s="16"/>
      <c r="Y93" s="16"/>
      <c r="Z93" s="16"/>
      <c r="AA93" s="16"/>
      <c r="AB93" s="16" t="s">
        <v>2805</v>
      </c>
      <c r="AC93" s="16"/>
      <c r="AD93" s="272"/>
      <c r="AE93" s="270"/>
      <c r="AF93" s="225" t="s">
        <v>29</v>
      </c>
      <c r="AG93" s="225"/>
      <c r="AI93" s="159" t="s">
        <v>57</v>
      </c>
      <c r="AJ93" s="159" t="s">
        <v>57</v>
      </c>
      <c r="AK93" s="159" t="s">
        <v>57</v>
      </c>
      <c r="AL93" s="159" t="s">
        <v>57</v>
      </c>
      <c r="AM93" s="159" t="s">
        <v>57</v>
      </c>
      <c r="AN93" s="159" t="s">
        <v>57</v>
      </c>
      <c r="AO93" s="159" t="s">
        <v>57</v>
      </c>
      <c r="AP93" s="160"/>
      <c r="AQ93" s="160"/>
      <c r="AR93" s="160"/>
      <c r="AS93" s="160"/>
      <c r="AT93" s="160"/>
      <c r="AU93" s="160"/>
      <c r="AV93" s="160"/>
      <c r="AW93" s="159" t="s">
        <v>57</v>
      </c>
      <c r="AX93" s="159" t="s">
        <v>57</v>
      </c>
      <c r="AY93" s="159" t="s">
        <v>57</v>
      </c>
      <c r="AZ93" s="159" t="s">
        <v>57</v>
      </c>
      <c r="BA93" s="159" t="s">
        <v>57</v>
      </c>
    </row>
    <row r="94" spans="1:53" ht="11.25" customHeight="1" x14ac:dyDescent="0.2">
      <c r="A94" s="21">
        <v>62</v>
      </c>
      <c r="B94" s="16">
        <v>2</v>
      </c>
      <c r="C94" s="16">
        <v>11</v>
      </c>
      <c r="D94" s="16">
        <v>-1</v>
      </c>
      <c r="E94" s="16">
        <v>-1</v>
      </c>
      <c r="F94" s="16"/>
      <c r="G94" s="16"/>
      <c r="H94" s="16"/>
      <c r="I94" s="16"/>
      <c r="J94" s="16" t="s">
        <v>588</v>
      </c>
      <c r="K94" s="16" t="s">
        <v>588</v>
      </c>
      <c r="L94" s="16" t="s">
        <v>103</v>
      </c>
      <c r="M94" s="16" t="s">
        <v>96</v>
      </c>
      <c r="N94" s="16"/>
      <c r="O94" s="27" t="s">
        <v>391</v>
      </c>
      <c r="P94" s="16"/>
      <c r="Q94" s="16"/>
      <c r="R94" s="16"/>
      <c r="S94" s="16">
        <v>24</v>
      </c>
      <c r="T94" s="16" t="s">
        <v>95</v>
      </c>
      <c r="U94" s="16" t="s">
        <v>607</v>
      </c>
      <c r="V94" s="16">
        <v>1</v>
      </c>
      <c r="W94" s="16"/>
      <c r="X94" s="16"/>
      <c r="Y94" s="16"/>
      <c r="Z94" s="16"/>
      <c r="AA94" s="16"/>
      <c r="AB94" s="16" t="s">
        <v>2804</v>
      </c>
      <c r="AC94" s="16"/>
      <c r="AD94" s="272"/>
      <c r="AE94" s="270"/>
      <c r="AF94" s="225" t="s">
        <v>149</v>
      </c>
      <c r="AG94" s="225"/>
      <c r="AI94" s="159" t="s">
        <v>57</v>
      </c>
      <c r="AJ94" s="159" t="s">
        <v>57</v>
      </c>
      <c r="AK94" s="159" t="s">
        <v>57</v>
      </c>
      <c r="AL94" s="159" t="s">
        <v>57</v>
      </c>
      <c r="AM94" s="159" t="s">
        <v>57</v>
      </c>
      <c r="AN94" s="159" t="s">
        <v>57</v>
      </c>
      <c r="AO94" s="159" t="s">
        <v>57</v>
      </c>
      <c r="AP94" s="160" t="s">
        <v>4811</v>
      </c>
      <c r="AQ94" s="160" t="s">
        <v>4811</v>
      </c>
      <c r="AR94" s="160" t="s">
        <v>4811</v>
      </c>
      <c r="AS94" s="160" t="s">
        <v>4811</v>
      </c>
      <c r="AT94" s="160" t="s">
        <v>4811</v>
      </c>
      <c r="AU94" s="160" t="s">
        <v>4811</v>
      </c>
      <c r="AV94" s="160" t="s">
        <v>4811</v>
      </c>
      <c r="AW94" s="159" t="s">
        <v>57</v>
      </c>
      <c r="AX94" s="159" t="s">
        <v>57</v>
      </c>
      <c r="AY94" s="159" t="s">
        <v>57</v>
      </c>
      <c r="AZ94" s="159" t="s">
        <v>57</v>
      </c>
      <c r="BA94" s="159" t="s">
        <v>57</v>
      </c>
    </row>
    <row r="95" spans="1:53" ht="11.25" customHeight="1" x14ac:dyDescent="0.2">
      <c r="A95" s="21">
        <v>63</v>
      </c>
      <c r="B95" s="16">
        <v>2</v>
      </c>
      <c r="C95" s="16">
        <v>12</v>
      </c>
      <c r="D95" s="16">
        <v>-1</v>
      </c>
      <c r="E95" s="16">
        <v>-1</v>
      </c>
      <c r="F95" s="16"/>
      <c r="G95" s="16"/>
      <c r="H95" s="16"/>
      <c r="I95" s="16"/>
      <c r="J95" s="16" t="s">
        <v>588</v>
      </c>
      <c r="K95" s="16" t="s">
        <v>588</v>
      </c>
      <c r="L95" s="16" t="s">
        <v>103</v>
      </c>
      <c r="M95" s="16" t="s">
        <v>96</v>
      </c>
      <c r="N95" s="16"/>
      <c r="O95" s="27" t="s">
        <v>525</v>
      </c>
      <c r="P95" s="16" t="s">
        <v>207</v>
      </c>
      <c r="Q95" s="16"/>
      <c r="R95" s="16"/>
      <c r="S95" s="16">
        <v>24</v>
      </c>
      <c r="T95" s="16" t="s">
        <v>95</v>
      </c>
      <c r="U95" s="16" t="s">
        <v>608</v>
      </c>
      <c r="V95" s="16">
        <v>1</v>
      </c>
      <c r="W95" s="16"/>
      <c r="X95" s="16"/>
      <c r="Y95" s="16"/>
      <c r="Z95" s="16"/>
      <c r="AA95" s="16"/>
      <c r="AB95" s="16" t="s">
        <v>2804</v>
      </c>
      <c r="AC95" s="16"/>
      <c r="AD95" s="272"/>
      <c r="AE95" s="270"/>
      <c r="AF95" s="225" t="s">
        <v>150</v>
      </c>
      <c r="AG95" s="225"/>
      <c r="AI95" s="159" t="s">
        <v>57</v>
      </c>
      <c r="AJ95" s="159" t="s">
        <v>57</v>
      </c>
      <c r="AK95" s="159" t="s">
        <v>57</v>
      </c>
      <c r="AL95" s="159" t="s">
        <v>57</v>
      </c>
      <c r="AM95" s="159" t="s">
        <v>57</v>
      </c>
      <c r="AN95" s="159" t="s">
        <v>57</v>
      </c>
      <c r="AO95" s="159" t="s">
        <v>57</v>
      </c>
      <c r="AP95" s="160" t="s">
        <v>833</v>
      </c>
      <c r="AQ95" s="160" t="s">
        <v>833</v>
      </c>
      <c r="AR95" s="160" t="s">
        <v>833</v>
      </c>
      <c r="AS95" s="160" t="s">
        <v>833</v>
      </c>
      <c r="AT95" s="160" t="s">
        <v>833</v>
      </c>
      <c r="AU95" s="160" t="s">
        <v>833</v>
      </c>
      <c r="AV95" s="160" t="s">
        <v>833</v>
      </c>
      <c r="AW95" s="159" t="s">
        <v>57</v>
      </c>
      <c r="AX95" s="159" t="s">
        <v>57</v>
      </c>
      <c r="AY95" s="159" t="s">
        <v>57</v>
      </c>
      <c r="AZ95" s="159" t="s">
        <v>57</v>
      </c>
      <c r="BA95" s="159" t="s">
        <v>57</v>
      </c>
    </row>
    <row r="96" spans="1:53" ht="11.25" customHeight="1" x14ac:dyDescent="0.2">
      <c r="A96" s="21">
        <v>64</v>
      </c>
      <c r="B96" s="16">
        <v>2</v>
      </c>
      <c r="C96" s="16">
        <v>13</v>
      </c>
      <c r="D96" s="16">
        <v>-1</v>
      </c>
      <c r="E96" s="16">
        <v>-1</v>
      </c>
      <c r="F96" s="16"/>
      <c r="G96" s="16"/>
      <c r="H96" s="16"/>
      <c r="I96" s="16"/>
      <c r="J96" s="16" t="s">
        <v>588</v>
      </c>
      <c r="K96" s="16" t="s">
        <v>94</v>
      </c>
      <c r="L96" s="16" t="s">
        <v>600</v>
      </c>
      <c r="M96" s="16"/>
      <c r="N96" s="16"/>
      <c r="O96" s="16"/>
      <c r="P96" s="16"/>
      <c r="Q96" s="16"/>
      <c r="R96" s="16"/>
      <c r="S96" s="16"/>
      <c r="T96" s="16"/>
      <c r="U96" s="16"/>
      <c r="V96" s="16"/>
      <c r="W96" s="16"/>
      <c r="X96" s="16"/>
      <c r="Y96" s="16"/>
      <c r="Z96" s="16"/>
      <c r="AA96" s="16"/>
      <c r="AB96" s="16" t="s">
        <v>2804</v>
      </c>
      <c r="AC96" s="16"/>
      <c r="AD96" s="272"/>
      <c r="AE96" s="270"/>
      <c r="AF96" s="225" t="s">
        <v>447</v>
      </c>
      <c r="AG96" s="225"/>
      <c r="AI96" s="159" t="s">
        <v>57</v>
      </c>
      <c r="AJ96" s="159" t="s">
        <v>57</v>
      </c>
      <c r="AK96" s="159" t="s">
        <v>57</v>
      </c>
      <c r="AL96" s="159" t="s">
        <v>57</v>
      </c>
      <c r="AM96" s="159" t="s">
        <v>57</v>
      </c>
      <c r="AN96" s="159" t="s">
        <v>57</v>
      </c>
      <c r="AO96" s="159" t="s">
        <v>57</v>
      </c>
      <c r="AP96" s="160">
        <v>5</v>
      </c>
      <c r="AQ96" s="160">
        <v>5</v>
      </c>
      <c r="AR96" s="160">
        <v>5</v>
      </c>
      <c r="AS96" s="160">
        <v>5</v>
      </c>
      <c r="AT96" s="160">
        <v>5</v>
      </c>
      <c r="AU96" s="160">
        <v>5</v>
      </c>
      <c r="AV96" s="160">
        <v>5</v>
      </c>
      <c r="AW96" s="159" t="s">
        <v>57</v>
      </c>
      <c r="AX96" s="159" t="s">
        <v>57</v>
      </c>
      <c r="AY96" s="159" t="s">
        <v>57</v>
      </c>
      <c r="AZ96" s="159" t="s">
        <v>57</v>
      </c>
      <c r="BA96" s="159" t="s">
        <v>57</v>
      </c>
    </row>
    <row r="97" spans="1:53" ht="11.25" customHeight="1" x14ac:dyDescent="0.2">
      <c r="A97" s="21">
        <v>65</v>
      </c>
      <c r="B97" s="16">
        <v>2</v>
      </c>
      <c r="C97" s="16">
        <v>14</v>
      </c>
      <c r="D97" s="16">
        <v>-1</v>
      </c>
      <c r="E97" s="16">
        <v>-1</v>
      </c>
      <c r="F97" s="16" t="s">
        <v>499</v>
      </c>
      <c r="G97" s="16"/>
      <c r="H97" s="16" t="s">
        <v>97</v>
      </c>
      <c r="I97" s="16" t="s">
        <v>94</v>
      </c>
      <c r="J97" s="16" t="s">
        <v>588</v>
      </c>
      <c r="K97" s="16" t="s">
        <v>97</v>
      </c>
      <c r="L97" s="16" t="s">
        <v>103</v>
      </c>
      <c r="M97" s="16" t="s">
        <v>96</v>
      </c>
      <c r="N97" s="16"/>
      <c r="O97" s="16" t="s">
        <v>518</v>
      </c>
      <c r="P97" s="16"/>
      <c r="Q97" s="16"/>
      <c r="R97" s="16"/>
      <c r="S97" s="16">
        <v>24</v>
      </c>
      <c r="T97" s="16" t="s">
        <v>95</v>
      </c>
      <c r="U97" s="16" t="s">
        <v>399</v>
      </c>
      <c r="V97" s="16">
        <v>1</v>
      </c>
      <c r="W97" s="16"/>
      <c r="X97" s="16"/>
      <c r="Y97" s="16"/>
      <c r="Z97" s="16"/>
      <c r="AA97" s="16"/>
      <c r="AB97" s="16" t="s">
        <v>1746</v>
      </c>
      <c r="AC97" s="16"/>
      <c r="AD97" s="272"/>
      <c r="AE97" s="270"/>
      <c r="AF97" s="225" t="s">
        <v>570</v>
      </c>
      <c r="AG97" s="225"/>
      <c r="AI97" s="159" t="s">
        <v>57</v>
      </c>
      <c r="AJ97" s="159" t="s">
        <v>57</v>
      </c>
      <c r="AK97" s="159" t="s">
        <v>57</v>
      </c>
      <c r="AL97" s="159" t="s">
        <v>57</v>
      </c>
      <c r="AM97" s="159" t="s">
        <v>57</v>
      </c>
      <c r="AN97" s="159" t="s">
        <v>57</v>
      </c>
      <c r="AO97" s="159" t="s">
        <v>57</v>
      </c>
      <c r="AP97" s="159" t="s">
        <v>57</v>
      </c>
      <c r="AQ97" s="159" t="s">
        <v>57</v>
      </c>
      <c r="AR97" s="159" t="s">
        <v>57</v>
      </c>
      <c r="AS97" s="159" t="s">
        <v>57</v>
      </c>
      <c r="AT97" s="159" t="s">
        <v>57</v>
      </c>
      <c r="AU97" s="159" t="s">
        <v>57</v>
      </c>
      <c r="AV97" s="159" t="s">
        <v>57</v>
      </c>
      <c r="AW97" s="159" t="s">
        <v>57</v>
      </c>
      <c r="AX97" s="159" t="s">
        <v>57</v>
      </c>
      <c r="AY97" s="159" t="s">
        <v>57</v>
      </c>
      <c r="AZ97" s="159" t="s">
        <v>57</v>
      </c>
      <c r="BA97" s="159" t="s">
        <v>57</v>
      </c>
    </row>
    <row r="98" spans="1:53" ht="11.25" customHeight="1" x14ac:dyDescent="0.2">
      <c r="A98" s="21">
        <v>66</v>
      </c>
      <c r="B98" s="16">
        <v>2</v>
      </c>
      <c r="C98" s="16">
        <v>15</v>
      </c>
      <c r="D98" s="16">
        <v>-1</v>
      </c>
      <c r="E98" s="16">
        <v>-1</v>
      </c>
      <c r="F98" s="16"/>
      <c r="G98" s="16"/>
      <c r="H98" s="16"/>
      <c r="I98" s="16"/>
      <c r="J98" s="16" t="s">
        <v>588</v>
      </c>
      <c r="K98" s="16" t="s">
        <v>588</v>
      </c>
      <c r="L98" s="16" t="s">
        <v>98</v>
      </c>
      <c r="M98" s="16" t="s">
        <v>207</v>
      </c>
      <c r="N98" s="16"/>
      <c r="O98" s="27" t="s">
        <v>1664</v>
      </c>
      <c r="P98" s="16"/>
      <c r="Q98" s="16"/>
      <c r="R98" s="16"/>
      <c r="S98" s="16">
        <v>24</v>
      </c>
      <c r="T98" s="16" t="s">
        <v>95</v>
      </c>
      <c r="U98" s="16" t="s">
        <v>1662</v>
      </c>
      <c r="V98" s="16">
        <v>1</v>
      </c>
      <c r="W98" s="16"/>
      <c r="X98" s="16"/>
      <c r="Y98" s="16"/>
      <c r="Z98" s="16"/>
      <c r="AA98" s="16"/>
      <c r="AB98" s="16" t="s">
        <v>1745</v>
      </c>
      <c r="AC98" s="16"/>
      <c r="AD98" s="272"/>
      <c r="AE98" s="270"/>
      <c r="AF98" s="225" t="s">
        <v>1660</v>
      </c>
      <c r="AG98" s="225"/>
      <c r="AI98" s="159" t="s">
        <v>57</v>
      </c>
      <c r="AJ98" s="159" t="s">
        <v>57</v>
      </c>
      <c r="AK98" s="159" t="s">
        <v>57</v>
      </c>
      <c r="AL98" s="159" t="s">
        <v>57</v>
      </c>
      <c r="AM98" s="159" t="s">
        <v>57</v>
      </c>
      <c r="AN98" s="159" t="s">
        <v>57</v>
      </c>
      <c r="AO98" s="159" t="s">
        <v>57</v>
      </c>
      <c r="AP98" s="203" t="s">
        <v>2994</v>
      </c>
      <c r="AQ98" s="203" t="s">
        <v>2994</v>
      </c>
      <c r="AR98" s="203" t="s">
        <v>2994</v>
      </c>
      <c r="AS98" s="203" t="s">
        <v>2994</v>
      </c>
      <c r="AT98" s="203" t="s">
        <v>2994</v>
      </c>
      <c r="AU98" s="203" t="s">
        <v>2994</v>
      </c>
      <c r="AV98" s="203" t="s">
        <v>2994</v>
      </c>
      <c r="AW98" s="159" t="s">
        <v>57</v>
      </c>
      <c r="AX98" s="159" t="s">
        <v>57</v>
      </c>
      <c r="AY98" s="159" t="s">
        <v>57</v>
      </c>
      <c r="AZ98" s="159" t="s">
        <v>57</v>
      </c>
      <c r="BA98" s="159" t="s">
        <v>57</v>
      </c>
    </row>
    <row r="99" spans="1:53" ht="11.25" hidden="1" customHeight="1" x14ac:dyDescent="0.2">
      <c r="A99" s="21">
        <v>67</v>
      </c>
      <c r="B99" s="16">
        <v>2</v>
      </c>
      <c r="C99" s="16">
        <v>16</v>
      </c>
      <c r="D99" s="16">
        <v>0</v>
      </c>
      <c r="E99" s="16">
        <v>0</v>
      </c>
      <c r="F99" s="16"/>
      <c r="G99" s="16"/>
      <c r="H99" s="16"/>
      <c r="I99" s="16"/>
      <c r="J99" s="16" t="s">
        <v>588</v>
      </c>
      <c r="K99" s="16"/>
      <c r="L99" s="16"/>
      <c r="M99" s="16"/>
      <c r="N99" s="16"/>
      <c r="O99" s="16"/>
      <c r="P99" s="16"/>
      <c r="Q99" s="16"/>
      <c r="R99" s="16"/>
      <c r="S99" s="16"/>
      <c r="T99" s="16"/>
      <c r="U99" s="16"/>
      <c r="V99" s="16"/>
      <c r="W99" s="16"/>
      <c r="X99" s="16"/>
      <c r="Y99" s="16"/>
      <c r="Z99" s="16"/>
      <c r="AA99" s="16"/>
      <c r="AB99" s="16" t="s">
        <v>1745</v>
      </c>
      <c r="AC99" s="16"/>
      <c r="AD99" s="272"/>
      <c r="AE99" s="270"/>
      <c r="AF99" s="225"/>
      <c r="AG99" s="225"/>
    </row>
    <row r="100" spans="1:53" ht="11.25" hidden="1" customHeight="1" x14ac:dyDescent="0.2">
      <c r="A100" s="21">
        <v>68</v>
      </c>
      <c r="B100" s="16">
        <v>2</v>
      </c>
      <c r="C100" s="16">
        <v>17</v>
      </c>
      <c r="D100" s="16">
        <v>0</v>
      </c>
      <c r="E100" s="16">
        <v>0</v>
      </c>
      <c r="F100" s="16"/>
      <c r="G100" s="16"/>
      <c r="H100" s="16"/>
      <c r="I100" s="16"/>
      <c r="J100" s="16" t="s">
        <v>588</v>
      </c>
      <c r="K100" s="16"/>
      <c r="L100" s="16"/>
      <c r="M100" s="16"/>
      <c r="N100" s="16"/>
      <c r="O100" s="16"/>
      <c r="P100" s="16"/>
      <c r="Q100" s="16"/>
      <c r="R100" s="16"/>
      <c r="S100" s="16"/>
      <c r="T100" s="16"/>
      <c r="U100" s="16"/>
      <c r="V100" s="16"/>
      <c r="W100" s="16"/>
      <c r="X100" s="16"/>
      <c r="Y100" s="16"/>
      <c r="Z100" s="16"/>
      <c r="AA100" s="16"/>
      <c r="AB100" s="16" t="s">
        <v>1745</v>
      </c>
      <c r="AC100" s="16"/>
      <c r="AD100" s="272"/>
      <c r="AE100" s="270"/>
      <c r="AF100" s="225"/>
      <c r="AG100" s="225"/>
    </row>
    <row r="101" spans="1:53" ht="11.25" hidden="1" customHeight="1" x14ac:dyDescent="0.2">
      <c r="A101" s="21">
        <v>69</v>
      </c>
      <c r="B101" s="16">
        <v>2</v>
      </c>
      <c r="C101" s="16">
        <v>18</v>
      </c>
      <c r="D101" s="16">
        <v>0</v>
      </c>
      <c r="E101" s="16">
        <v>0</v>
      </c>
      <c r="F101" s="16"/>
      <c r="G101" s="16"/>
      <c r="H101" s="16"/>
      <c r="I101" s="16"/>
      <c r="J101" s="16" t="s">
        <v>588</v>
      </c>
      <c r="K101" s="16"/>
      <c r="L101" s="16"/>
      <c r="M101" s="16"/>
      <c r="N101" s="16"/>
      <c r="O101" s="16"/>
      <c r="P101" s="16"/>
      <c r="Q101" s="16"/>
      <c r="R101" s="16"/>
      <c r="S101" s="16"/>
      <c r="T101" s="16"/>
      <c r="U101" s="16"/>
      <c r="V101" s="16"/>
      <c r="W101" s="16"/>
      <c r="X101" s="16"/>
      <c r="Y101" s="16"/>
      <c r="Z101" s="16"/>
      <c r="AA101" s="16"/>
      <c r="AB101" s="16" t="s">
        <v>1745</v>
      </c>
      <c r="AC101" s="16"/>
      <c r="AD101" s="272"/>
      <c r="AE101" s="270"/>
      <c r="AF101" s="225"/>
      <c r="AG101" s="225"/>
    </row>
    <row r="102" spans="1:53" ht="11.25" hidden="1" customHeight="1" x14ac:dyDescent="0.2">
      <c r="A102" s="21">
        <v>70</v>
      </c>
      <c r="B102" s="16">
        <v>2</v>
      </c>
      <c r="C102" s="16">
        <v>19</v>
      </c>
      <c r="D102" s="16">
        <v>0</v>
      </c>
      <c r="E102" s="16">
        <v>0</v>
      </c>
      <c r="F102" s="16"/>
      <c r="G102" s="16"/>
      <c r="H102" s="16"/>
      <c r="I102" s="16"/>
      <c r="J102" s="16" t="s">
        <v>588</v>
      </c>
      <c r="K102" s="16"/>
      <c r="L102" s="16"/>
      <c r="M102" s="16"/>
      <c r="N102" s="16"/>
      <c r="O102" s="16"/>
      <c r="P102" s="16"/>
      <c r="Q102" s="16"/>
      <c r="R102" s="16"/>
      <c r="S102" s="16"/>
      <c r="T102" s="16"/>
      <c r="U102" s="16"/>
      <c r="V102" s="16"/>
      <c r="W102" s="16"/>
      <c r="X102" s="16"/>
      <c r="Y102" s="16"/>
      <c r="Z102" s="16"/>
      <c r="AA102" s="16"/>
      <c r="AB102" s="16" t="s">
        <v>1745</v>
      </c>
      <c r="AC102" s="16"/>
      <c r="AD102" s="272"/>
      <c r="AE102" s="270"/>
      <c r="AF102" s="225"/>
      <c r="AG102" s="225"/>
    </row>
    <row r="103" spans="1:53" ht="11.25" hidden="1" customHeight="1" x14ac:dyDescent="0.2">
      <c r="A103" s="21">
        <v>71</v>
      </c>
      <c r="B103" s="16">
        <v>2</v>
      </c>
      <c r="C103" s="16">
        <v>20</v>
      </c>
      <c r="D103" s="16">
        <v>0</v>
      </c>
      <c r="E103" s="16">
        <v>0</v>
      </c>
      <c r="F103" s="16"/>
      <c r="G103" s="16"/>
      <c r="H103" s="16"/>
      <c r="I103" s="16"/>
      <c r="J103" s="16" t="s">
        <v>588</v>
      </c>
      <c r="K103" s="16"/>
      <c r="L103" s="16"/>
      <c r="M103" s="16"/>
      <c r="N103" s="16"/>
      <c r="O103" s="16"/>
      <c r="P103" s="16"/>
      <c r="Q103" s="16"/>
      <c r="R103" s="16"/>
      <c r="S103" s="16"/>
      <c r="T103" s="16"/>
      <c r="U103" s="16"/>
      <c r="V103" s="16"/>
      <c r="W103" s="16"/>
      <c r="X103" s="16"/>
      <c r="Y103" s="16"/>
      <c r="Z103" s="16"/>
      <c r="AA103" s="16"/>
      <c r="AB103" s="16" t="s">
        <v>1745</v>
      </c>
      <c r="AC103" s="16"/>
      <c r="AD103" s="272"/>
      <c r="AE103" s="270"/>
      <c r="AF103" s="225"/>
      <c r="AG103" s="225"/>
    </row>
    <row r="104" spans="1:53" ht="11.25" hidden="1" customHeight="1" x14ac:dyDescent="0.2">
      <c r="A104" s="21">
        <v>72</v>
      </c>
      <c r="B104" s="16">
        <v>2</v>
      </c>
      <c r="C104" s="16">
        <v>21</v>
      </c>
      <c r="D104" s="16">
        <v>0</v>
      </c>
      <c r="E104" s="16">
        <v>0</v>
      </c>
      <c r="F104" s="16"/>
      <c r="G104" s="16"/>
      <c r="H104" s="16"/>
      <c r="I104" s="16"/>
      <c r="J104" s="16" t="s">
        <v>588</v>
      </c>
      <c r="K104" s="16"/>
      <c r="L104" s="16"/>
      <c r="M104" s="16"/>
      <c r="N104" s="16"/>
      <c r="O104" s="16"/>
      <c r="P104" s="16"/>
      <c r="Q104" s="16"/>
      <c r="R104" s="16"/>
      <c r="S104" s="16"/>
      <c r="T104" s="16"/>
      <c r="U104" s="16"/>
      <c r="V104" s="16"/>
      <c r="W104" s="16"/>
      <c r="X104" s="16"/>
      <c r="Y104" s="16"/>
      <c r="Z104" s="16"/>
      <c r="AA104" s="16"/>
      <c r="AB104" s="16" t="s">
        <v>1745</v>
      </c>
      <c r="AC104" s="16"/>
      <c r="AD104" s="272"/>
      <c r="AE104" s="270"/>
      <c r="AF104" s="225"/>
      <c r="AG104" s="225"/>
    </row>
    <row r="105" spans="1:53" ht="11.25" hidden="1" customHeight="1" x14ac:dyDescent="0.2">
      <c r="A105" s="21">
        <v>73</v>
      </c>
      <c r="B105" s="16">
        <v>2</v>
      </c>
      <c r="C105" s="16">
        <v>22</v>
      </c>
      <c r="D105" s="16">
        <v>0</v>
      </c>
      <c r="E105" s="16">
        <v>0</v>
      </c>
      <c r="F105" s="16"/>
      <c r="G105" s="16"/>
      <c r="H105" s="16"/>
      <c r="I105" s="16"/>
      <c r="J105" s="16" t="s">
        <v>588</v>
      </c>
      <c r="K105" s="16"/>
      <c r="L105" s="16"/>
      <c r="M105" s="16"/>
      <c r="N105" s="16"/>
      <c r="O105" s="16"/>
      <c r="P105" s="16"/>
      <c r="Q105" s="16"/>
      <c r="R105" s="16"/>
      <c r="S105" s="16"/>
      <c r="T105" s="16"/>
      <c r="U105" s="16"/>
      <c r="V105" s="16"/>
      <c r="W105" s="16"/>
      <c r="X105" s="16"/>
      <c r="Y105" s="16"/>
      <c r="Z105" s="16"/>
      <c r="AA105" s="16"/>
      <c r="AB105" s="16" t="s">
        <v>1745</v>
      </c>
      <c r="AC105" s="16"/>
      <c r="AD105" s="272"/>
      <c r="AE105" s="270"/>
      <c r="AF105" s="225"/>
      <c r="AG105" s="225"/>
    </row>
    <row r="106" spans="1:53" ht="11.25" hidden="1" customHeight="1" x14ac:dyDescent="0.2">
      <c r="A106" s="21">
        <v>74</v>
      </c>
      <c r="B106" s="16">
        <v>2</v>
      </c>
      <c r="C106" s="16">
        <v>23</v>
      </c>
      <c r="D106" s="16">
        <v>0</v>
      </c>
      <c r="E106" s="16">
        <v>0</v>
      </c>
      <c r="F106" s="16"/>
      <c r="G106" s="16"/>
      <c r="H106" s="16"/>
      <c r="I106" s="16"/>
      <c r="J106" s="16" t="s">
        <v>588</v>
      </c>
      <c r="K106" s="16"/>
      <c r="L106" s="16"/>
      <c r="M106" s="16"/>
      <c r="N106" s="16"/>
      <c r="O106" s="16"/>
      <c r="P106" s="16"/>
      <c r="Q106" s="16"/>
      <c r="R106" s="16"/>
      <c r="S106" s="16"/>
      <c r="T106" s="16"/>
      <c r="U106" s="16"/>
      <c r="V106" s="16"/>
      <c r="W106" s="16"/>
      <c r="X106" s="16"/>
      <c r="Y106" s="16"/>
      <c r="Z106" s="16"/>
      <c r="AA106" s="16"/>
      <c r="AB106" s="16" t="s">
        <v>1745</v>
      </c>
      <c r="AC106" s="16"/>
      <c r="AD106" s="272"/>
      <c r="AE106" s="270"/>
      <c r="AF106" s="225"/>
      <c r="AG106" s="225"/>
    </row>
    <row r="107" spans="1:53" ht="11.25" hidden="1" customHeight="1" x14ac:dyDescent="0.2">
      <c r="A107" s="21">
        <v>75</v>
      </c>
      <c r="B107" s="16">
        <v>2</v>
      </c>
      <c r="C107" s="16">
        <v>24</v>
      </c>
      <c r="D107" s="16">
        <v>0</v>
      </c>
      <c r="E107" s="16">
        <v>0</v>
      </c>
      <c r="F107" s="16"/>
      <c r="G107" s="16"/>
      <c r="H107" s="16"/>
      <c r="I107" s="16"/>
      <c r="J107" s="16" t="s">
        <v>588</v>
      </c>
      <c r="K107" s="16"/>
      <c r="L107" s="16"/>
      <c r="M107" s="16"/>
      <c r="N107" s="16"/>
      <c r="O107" s="16"/>
      <c r="P107" s="16"/>
      <c r="Q107" s="16"/>
      <c r="R107" s="16"/>
      <c r="S107" s="16"/>
      <c r="T107" s="16"/>
      <c r="U107" s="16"/>
      <c r="V107" s="16"/>
      <c r="W107" s="16"/>
      <c r="X107" s="16"/>
      <c r="Y107" s="16"/>
      <c r="Z107" s="16"/>
      <c r="AA107" s="16"/>
      <c r="AB107" s="16" t="s">
        <v>1745</v>
      </c>
      <c r="AC107" s="16"/>
      <c r="AD107" s="272"/>
      <c r="AE107" s="270"/>
      <c r="AF107" s="225"/>
      <c r="AG107" s="225"/>
    </row>
    <row r="108" spans="1:53" ht="11.25" hidden="1" customHeight="1" thickBot="1" x14ac:dyDescent="0.25">
      <c r="A108" s="21">
        <v>76</v>
      </c>
      <c r="B108" s="16">
        <v>2</v>
      </c>
      <c r="C108" s="16">
        <v>25</v>
      </c>
      <c r="D108" s="16">
        <v>0</v>
      </c>
      <c r="E108" s="16">
        <v>0</v>
      </c>
      <c r="F108" s="16"/>
      <c r="G108" s="16"/>
      <c r="H108" s="16"/>
      <c r="I108" s="16"/>
      <c r="J108" s="16" t="s">
        <v>588</v>
      </c>
      <c r="K108" s="16"/>
      <c r="L108" s="16"/>
      <c r="M108" s="16"/>
      <c r="N108" s="16"/>
      <c r="O108" s="16"/>
      <c r="P108" s="16"/>
      <c r="Q108" s="16"/>
      <c r="R108" s="16"/>
      <c r="S108" s="16"/>
      <c r="T108" s="16"/>
      <c r="U108" s="16"/>
      <c r="V108" s="16"/>
      <c r="W108" s="16"/>
      <c r="X108" s="16"/>
      <c r="Y108" s="16"/>
      <c r="Z108" s="16"/>
      <c r="AA108" s="16"/>
      <c r="AB108" s="16" t="s">
        <v>1745</v>
      </c>
      <c r="AC108" s="16"/>
      <c r="AD108" s="272"/>
      <c r="AE108" s="270"/>
      <c r="AF108" s="231"/>
      <c r="AG108" s="231"/>
    </row>
    <row r="109" spans="1:53" ht="11.25" customHeight="1" x14ac:dyDescent="0.2">
      <c r="A109" s="21">
        <v>77</v>
      </c>
      <c r="B109" s="17">
        <v>3</v>
      </c>
      <c r="C109" s="17">
        <v>1</v>
      </c>
      <c r="D109" s="17">
        <v>-1</v>
      </c>
      <c r="E109" s="17">
        <v>-1</v>
      </c>
      <c r="F109" s="17"/>
      <c r="G109" s="17"/>
      <c r="H109" s="17"/>
      <c r="I109" s="17"/>
      <c r="J109" s="17"/>
      <c r="K109" s="17" t="s">
        <v>94</v>
      </c>
      <c r="L109" s="17"/>
      <c r="M109" s="17"/>
      <c r="N109" s="17"/>
      <c r="O109" s="17"/>
      <c r="P109" s="17"/>
      <c r="Q109" s="17"/>
      <c r="R109" s="17"/>
      <c r="S109" s="17"/>
      <c r="T109" s="17"/>
      <c r="U109" s="17"/>
      <c r="V109" s="17"/>
      <c r="W109" s="17"/>
      <c r="X109" s="17"/>
      <c r="Y109" s="17"/>
      <c r="Z109" s="17"/>
      <c r="AA109" s="17"/>
      <c r="AB109" s="17" t="s">
        <v>1746</v>
      </c>
      <c r="AC109" s="17"/>
      <c r="AD109" s="272"/>
      <c r="AE109" s="232" t="str">
        <f>Admin!$D$5</f>
        <v>AUTO SAMP</v>
      </c>
      <c r="AF109" s="234" t="s">
        <v>180</v>
      </c>
      <c r="AG109" s="234"/>
      <c r="AI109" s="159" t="s">
        <v>57</v>
      </c>
      <c r="AJ109" s="159" t="s">
        <v>57</v>
      </c>
      <c r="AK109" s="159" t="s">
        <v>57</v>
      </c>
      <c r="AL109" s="159" t="s">
        <v>57</v>
      </c>
      <c r="AM109" s="159" t="s">
        <v>57</v>
      </c>
      <c r="AN109" s="159" t="s">
        <v>57</v>
      </c>
      <c r="AO109" s="159" t="s">
        <v>57</v>
      </c>
      <c r="AP109" s="159" t="s">
        <v>57</v>
      </c>
      <c r="AQ109" s="159" t="s">
        <v>57</v>
      </c>
      <c r="AR109" s="159" t="s">
        <v>57</v>
      </c>
      <c r="AS109" s="159" t="s">
        <v>57</v>
      </c>
      <c r="AT109" s="159" t="s">
        <v>57</v>
      </c>
      <c r="AU109" s="159" t="s">
        <v>57</v>
      </c>
      <c r="AV109" s="159" t="s">
        <v>57</v>
      </c>
      <c r="AW109" s="159" t="s">
        <v>57</v>
      </c>
      <c r="AX109" s="159" t="s">
        <v>57</v>
      </c>
      <c r="AY109" s="159" t="s">
        <v>57</v>
      </c>
      <c r="AZ109" s="159" t="s">
        <v>57</v>
      </c>
      <c r="BA109" s="159" t="s">
        <v>57</v>
      </c>
    </row>
    <row r="110" spans="1:53" ht="11.25" customHeight="1" x14ac:dyDescent="0.2">
      <c r="A110" s="21">
        <v>78</v>
      </c>
      <c r="B110" s="17">
        <v>3</v>
      </c>
      <c r="C110" s="17">
        <v>2</v>
      </c>
      <c r="D110" s="17">
        <v>-1</v>
      </c>
      <c r="E110" s="17">
        <v>-1</v>
      </c>
      <c r="F110" s="17"/>
      <c r="G110" s="17"/>
      <c r="H110" s="17"/>
      <c r="I110" s="17"/>
      <c r="J110" s="17"/>
      <c r="K110" s="17" t="s">
        <v>588</v>
      </c>
      <c r="L110" s="17"/>
      <c r="M110" s="17"/>
      <c r="N110" s="17"/>
      <c r="O110" s="17"/>
      <c r="P110" s="17"/>
      <c r="Q110" s="17"/>
      <c r="R110" s="17"/>
      <c r="S110" s="17"/>
      <c r="T110" s="17"/>
      <c r="U110" s="17"/>
      <c r="V110" s="17"/>
      <c r="W110" s="17"/>
      <c r="X110" s="17"/>
      <c r="Y110" s="17"/>
      <c r="Z110" s="17"/>
      <c r="AA110" s="17"/>
      <c r="AB110" s="17" t="s">
        <v>1746</v>
      </c>
      <c r="AC110" s="17"/>
      <c r="AD110" s="272"/>
      <c r="AE110" s="232"/>
      <c r="AF110" s="225" t="s">
        <v>785</v>
      </c>
      <c r="AG110" s="225"/>
      <c r="AI110" s="159" t="s">
        <v>57</v>
      </c>
      <c r="AJ110" s="159" t="s">
        <v>57</v>
      </c>
      <c r="AK110" s="159" t="s">
        <v>57</v>
      </c>
      <c r="AL110" s="159" t="s">
        <v>57</v>
      </c>
      <c r="AM110" s="159" t="s">
        <v>57</v>
      </c>
      <c r="AN110" s="159" t="s">
        <v>57</v>
      </c>
      <c r="AO110" s="159" t="s">
        <v>57</v>
      </c>
      <c r="AP110" s="159" t="s">
        <v>57</v>
      </c>
      <c r="AQ110" s="159" t="s">
        <v>57</v>
      </c>
      <c r="AR110" s="159" t="s">
        <v>57</v>
      </c>
      <c r="AS110" s="159" t="s">
        <v>57</v>
      </c>
      <c r="AT110" s="159" t="s">
        <v>57</v>
      </c>
      <c r="AU110" s="159" t="s">
        <v>57</v>
      </c>
      <c r="AV110" s="159" t="s">
        <v>57</v>
      </c>
      <c r="AW110" s="159" t="s">
        <v>57</v>
      </c>
      <c r="AX110" s="159" t="s">
        <v>57</v>
      </c>
      <c r="AY110" s="159" t="s">
        <v>57</v>
      </c>
      <c r="AZ110" s="159" t="s">
        <v>57</v>
      </c>
      <c r="BA110" s="159" t="s">
        <v>57</v>
      </c>
    </row>
    <row r="111" spans="1:53" ht="11.25" customHeight="1" x14ac:dyDescent="0.2">
      <c r="A111" s="21">
        <v>79</v>
      </c>
      <c r="B111" s="17">
        <v>3</v>
      </c>
      <c r="C111" s="17">
        <v>3</v>
      </c>
      <c r="D111" s="17">
        <v>-1</v>
      </c>
      <c r="E111" s="17">
        <v>-1</v>
      </c>
      <c r="F111" s="17"/>
      <c r="G111" s="17"/>
      <c r="H111" s="17"/>
      <c r="I111" s="17"/>
      <c r="J111" s="17"/>
      <c r="K111" s="17" t="s">
        <v>94</v>
      </c>
      <c r="L111" s="17"/>
      <c r="M111" s="17"/>
      <c r="N111" s="17"/>
      <c r="O111" s="17"/>
      <c r="P111" s="17"/>
      <c r="Q111" s="17"/>
      <c r="R111" s="17"/>
      <c r="S111" s="17"/>
      <c r="T111" s="17"/>
      <c r="U111" s="17"/>
      <c r="V111" s="17"/>
      <c r="W111" s="17"/>
      <c r="X111" s="17"/>
      <c r="Y111" s="17"/>
      <c r="Z111" s="17"/>
      <c r="AA111" s="17"/>
      <c r="AB111" s="17" t="s">
        <v>1746</v>
      </c>
      <c r="AC111" s="17"/>
      <c r="AD111" s="272"/>
      <c r="AE111" s="232"/>
      <c r="AF111" s="225" t="s">
        <v>187</v>
      </c>
      <c r="AG111" s="225"/>
      <c r="AI111" s="159" t="s">
        <v>57</v>
      </c>
      <c r="AJ111" s="159" t="s">
        <v>57</v>
      </c>
      <c r="AK111" s="159" t="s">
        <v>57</v>
      </c>
      <c r="AL111" s="159" t="s">
        <v>57</v>
      </c>
      <c r="AM111" s="159" t="s">
        <v>57</v>
      </c>
      <c r="AN111" s="159" t="s">
        <v>57</v>
      </c>
      <c r="AO111" s="159" t="s">
        <v>57</v>
      </c>
      <c r="AP111" s="159" t="s">
        <v>57</v>
      </c>
      <c r="AQ111" s="159" t="s">
        <v>57</v>
      </c>
      <c r="AR111" s="159" t="s">
        <v>57</v>
      </c>
      <c r="AS111" s="159" t="s">
        <v>57</v>
      </c>
      <c r="AT111" s="159" t="s">
        <v>57</v>
      </c>
      <c r="AU111" s="159" t="s">
        <v>57</v>
      </c>
      <c r="AV111" s="159" t="s">
        <v>57</v>
      </c>
      <c r="AW111" s="159" t="s">
        <v>57</v>
      </c>
      <c r="AX111" s="159" t="s">
        <v>57</v>
      </c>
      <c r="AY111" s="159" t="s">
        <v>57</v>
      </c>
      <c r="AZ111" s="159" t="s">
        <v>57</v>
      </c>
      <c r="BA111" s="159" t="s">
        <v>57</v>
      </c>
    </row>
    <row r="112" spans="1:53" ht="11.25" customHeight="1" x14ac:dyDescent="0.2">
      <c r="A112" s="21">
        <v>80</v>
      </c>
      <c r="B112" s="17">
        <v>3</v>
      </c>
      <c r="C112" s="17">
        <v>4</v>
      </c>
      <c r="D112" s="17">
        <v>-1</v>
      </c>
      <c r="E112" s="17">
        <v>-1</v>
      </c>
      <c r="F112" s="17"/>
      <c r="G112" s="17"/>
      <c r="H112" s="17"/>
      <c r="I112" s="17"/>
      <c r="J112" s="17"/>
      <c r="K112" s="17" t="s">
        <v>94</v>
      </c>
      <c r="L112" s="17"/>
      <c r="M112" s="17"/>
      <c r="N112" s="17"/>
      <c r="O112" s="17"/>
      <c r="P112" s="17"/>
      <c r="Q112" s="17"/>
      <c r="R112" s="17"/>
      <c r="S112" s="17"/>
      <c r="T112" s="17"/>
      <c r="U112" s="17"/>
      <c r="V112" s="17"/>
      <c r="W112" s="17"/>
      <c r="X112" s="17"/>
      <c r="Y112" s="17"/>
      <c r="Z112" s="17"/>
      <c r="AA112" s="17"/>
      <c r="AB112" s="17" t="s">
        <v>1746</v>
      </c>
      <c r="AC112" s="17"/>
      <c r="AD112" s="272"/>
      <c r="AE112" s="232"/>
      <c r="AF112" s="225" t="s">
        <v>188</v>
      </c>
      <c r="AG112" s="225"/>
      <c r="AI112" s="159" t="s">
        <v>57</v>
      </c>
      <c r="AJ112" s="159" t="s">
        <v>57</v>
      </c>
      <c r="AK112" s="159" t="s">
        <v>57</v>
      </c>
      <c r="AL112" s="159" t="s">
        <v>57</v>
      </c>
      <c r="AM112" s="159" t="s">
        <v>57</v>
      </c>
      <c r="AN112" s="159" t="s">
        <v>57</v>
      </c>
      <c r="AO112" s="159" t="s">
        <v>57</v>
      </c>
      <c r="AP112" s="159" t="s">
        <v>57</v>
      </c>
      <c r="AQ112" s="159" t="s">
        <v>57</v>
      </c>
      <c r="AR112" s="159" t="s">
        <v>57</v>
      </c>
      <c r="AS112" s="159" t="s">
        <v>57</v>
      </c>
      <c r="AT112" s="159" t="s">
        <v>57</v>
      </c>
      <c r="AU112" s="159" t="s">
        <v>57</v>
      </c>
      <c r="AV112" s="159" t="s">
        <v>57</v>
      </c>
      <c r="AW112" s="159" t="s">
        <v>57</v>
      </c>
      <c r="AX112" s="159" t="s">
        <v>57</v>
      </c>
      <c r="AY112" s="159" t="s">
        <v>57</v>
      </c>
      <c r="AZ112" s="159" t="s">
        <v>57</v>
      </c>
      <c r="BA112" s="159" t="s">
        <v>57</v>
      </c>
    </row>
    <row r="113" spans="1:53" ht="11.25" customHeight="1" x14ac:dyDescent="0.2">
      <c r="A113" s="21">
        <v>81</v>
      </c>
      <c r="B113" s="17">
        <v>3</v>
      </c>
      <c r="C113" s="17">
        <v>5</v>
      </c>
      <c r="D113" s="17">
        <v>-1</v>
      </c>
      <c r="E113" s="17">
        <v>-1</v>
      </c>
      <c r="F113" s="17"/>
      <c r="G113" s="17"/>
      <c r="H113" s="17"/>
      <c r="I113" s="17"/>
      <c r="J113" s="17"/>
      <c r="K113" s="17" t="s">
        <v>94</v>
      </c>
      <c r="L113" s="17"/>
      <c r="M113" s="17"/>
      <c r="N113" s="17"/>
      <c r="O113" s="17"/>
      <c r="P113" s="17"/>
      <c r="Q113" s="17"/>
      <c r="R113" s="17"/>
      <c r="S113" s="17"/>
      <c r="T113" s="17"/>
      <c r="U113" s="17"/>
      <c r="V113" s="17"/>
      <c r="W113" s="17"/>
      <c r="X113" s="17"/>
      <c r="Y113" s="17"/>
      <c r="Z113" s="17"/>
      <c r="AA113" s="17"/>
      <c r="AB113" s="17" t="s">
        <v>1746</v>
      </c>
      <c r="AC113" s="17"/>
      <c r="AD113" s="272"/>
      <c r="AE113" s="232"/>
      <c r="AF113" s="225" t="s">
        <v>189</v>
      </c>
      <c r="AG113" s="225"/>
      <c r="AI113" s="159" t="s">
        <v>57</v>
      </c>
      <c r="AJ113" s="159" t="s">
        <v>57</v>
      </c>
      <c r="AK113" s="159" t="s">
        <v>57</v>
      </c>
      <c r="AL113" s="159" t="s">
        <v>57</v>
      </c>
      <c r="AM113" s="159" t="s">
        <v>57</v>
      </c>
      <c r="AN113" s="159" t="s">
        <v>57</v>
      </c>
      <c r="AO113" s="159" t="s">
        <v>57</v>
      </c>
      <c r="AP113" s="159" t="s">
        <v>57</v>
      </c>
      <c r="AQ113" s="159" t="s">
        <v>57</v>
      </c>
      <c r="AR113" s="159" t="s">
        <v>57</v>
      </c>
      <c r="AS113" s="159" t="s">
        <v>57</v>
      </c>
      <c r="AT113" s="159" t="s">
        <v>57</v>
      </c>
      <c r="AU113" s="159" t="s">
        <v>57</v>
      </c>
      <c r="AV113" s="159" t="s">
        <v>57</v>
      </c>
      <c r="AW113" s="159" t="s">
        <v>57</v>
      </c>
      <c r="AX113" s="159" t="s">
        <v>57</v>
      </c>
      <c r="AY113" s="159" t="s">
        <v>57</v>
      </c>
      <c r="AZ113" s="159" t="s">
        <v>57</v>
      </c>
      <c r="BA113" s="159" t="s">
        <v>57</v>
      </c>
    </row>
    <row r="114" spans="1:53" ht="11.25" customHeight="1" x14ac:dyDescent="0.2">
      <c r="A114" s="21">
        <v>82</v>
      </c>
      <c r="B114" s="17">
        <v>3</v>
      </c>
      <c r="C114" s="17">
        <v>6</v>
      </c>
      <c r="D114" s="17">
        <v>-1</v>
      </c>
      <c r="E114" s="17">
        <v>-1</v>
      </c>
      <c r="F114" s="17"/>
      <c r="G114" s="17"/>
      <c r="H114" s="17"/>
      <c r="I114" s="17"/>
      <c r="J114" s="17"/>
      <c r="K114" s="17" t="s">
        <v>588</v>
      </c>
      <c r="L114" s="17"/>
      <c r="M114" s="17"/>
      <c r="N114" s="17"/>
      <c r="O114" s="17"/>
      <c r="P114" s="17"/>
      <c r="Q114" s="17"/>
      <c r="R114" s="17"/>
      <c r="S114" s="17"/>
      <c r="T114" s="17"/>
      <c r="U114" s="17"/>
      <c r="V114" s="17"/>
      <c r="W114" s="17"/>
      <c r="X114" s="17"/>
      <c r="Y114" s="17"/>
      <c r="Z114" s="17"/>
      <c r="AA114" s="17"/>
      <c r="AB114" s="17" t="s">
        <v>1746</v>
      </c>
      <c r="AC114" s="17"/>
      <c r="AD114" s="272"/>
      <c r="AE114" s="232"/>
      <c r="AF114" s="225" t="s">
        <v>182</v>
      </c>
      <c r="AG114" s="225"/>
      <c r="AI114" s="159" t="s">
        <v>57</v>
      </c>
      <c r="AJ114" s="159" t="s">
        <v>57</v>
      </c>
      <c r="AK114" s="159" t="s">
        <v>57</v>
      </c>
      <c r="AL114" s="159" t="s">
        <v>57</v>
      </c>
      <c r="AM114" s="159" t="s">
        <v>57</v>
      </c>
      <c r="AN114" s="159" t="s">
        <v>57</v>
      </c>
      <c r="AO114" s="159" t="s">
        <v>57</v>
      </c>
      <c r="AP114" s="159" t="s">
        <v>57</v>
      </c>
      <c r="AQ114" s="159" t="s">
        <v>57</v>
      </c>
      <c r="AR114" s="159" t="s">
        <v>57</v>
      </c>
      <c r="AS114" s="159" t="s">
        <v>57</v>
      </c>
      <c r="AT114" s="159" t="s">
        <v>57</v>
      </c>
      <c r="AU114" s="159" t="s">
        <v>57</v>
      </c>
      <c r="AV114" s="159" t="s">
        <v>57</v>
      </c>
      <c r="AW114" s="159" t="s">
        <v>57</v>
      </c>
      <c r="AX114" s="159" t="s">
        <v>57</v>
      </c>
      <c r="AY114" s="159" t="s">
        <v>57</v>
      </c>
      <c r="AZ114" s="159" t="s">
        <v>57</v>
      </c>
      <c r="BA114" s="159" t="s">
        <v>57</v>
      </c>
    </row>
    <row r="115" spans="1:53" ht="11.25" customHeight="1" x14ac:dyDescent="0.2">
      <c r="A115" s="21">
        <v>83</v>
      </c>
      <c r="B115" s="17">
        <v>3</v>
      </c>
      <c r="C115" s="17">
        <v>7</v>
      </c>
      <c r="D115" s="17">
        <v>-1</v>
      </c>
      <c r="E115" s="17">
        <v>-1</v>
      </c>
      <c r="F115" s="17"/>
      <c r="G115" s="17"/>
      <c r="H115" s="17"/>
      <c r="I115" s="17"/>
      <c r="J115" s="17"/>
      <c r="K115" s="17" t="s">
        <v>588</v>
      </c>
      <c r="L115" s="17"/>
      <c r="M115" s="17"/>
      <c r="N115" s="17"/>
      <c r="O115" s="17"/>
      <c r="P115" s="17"/>
      <c r="Q115" s="17"/>
      <c r="R115" s="17"/>
      <c r="S115" s="17"/>
      <c r="T115" s="17"/>
      <c r="U115" s="17"/>
      <c r="V115" s="17"/>
      <c r="W115" s="17"/>
      <c r="X115" s="17"/>
      <c r="Y115" s="17"/>
      <c r="Z115" s="17"/>
      <c r="AA115" s="17"/>
      <c r="AB115" s="17" t="s">
        <v>1746</v>
      </c>
      <c r="AC115" s="17"/>
      <c r="AD115" s="272"/>
      <c r="AE115" s="232"/>
      <c r="AF115" s="225" t="s">
        <v>195</v>
      </c>
      <c r="AG115" s="225"/>
      <c r="AI115" s="159" t="s">
        <v>57</v>
      </c>
      <c r="AJ115" s="159" t="s">
        <v>57</v>
      </c>
      <c r="AK115" s="159" t="s">
        <v>57</v>
      </c>
      <c r="AL115" s="159" t="s">
        <v>57</v>
      </c>
      <c r="AM115" s="159" t="s">
        <v>57</v>
      </c>
      <c r="AN115" s="159" t="s">
        <v>57</v>
      </c>
      <c r="AO115" s="159" t="s">
        <v>57</v>
      </c>
      <c r="AP115" s="159" t="s">
        <v>57</v>
      </c>
      <c r="AQ115" s="159" t="s">
        <v>57</v>
      </c>
      <c r="AR115" s="159" t="s">
        <v>57</v>
      </c>
      <c r="AS115" s="159" t="s">
        <v>57</v>
      </c>
      <c r="AT115" s="159" t="s">
        <v>57</v>
      </c>
      <c r="AU115" s="159" t="s">
        <v>57</v>
      </c>
      <c r="AV115" s="159" t="s">
        <v>57</v>
      </c>
      <c r="AW115" s="159" t="s">
        <v>57</v>
      </c>
      <c r="AX115" s="159" t="s">
        <v>57</v>
      </c>
      <c r="AY115" s="159" t="s">
        <v>57</v>
      </c>
      <c r="AZ115" s="159" t="s">
        <v>57</v>
      </c>
      <c r="BA115" s="159" t="s">
        <v>57</v>
      </c>
    </row>
    <row r="116" spans="1:53" ht="11.25" customHeight="1" x14ac:dyDescent="0.2">
      <c r="A116" s="21">
        <v>84</v>
      </c>
      <c r="B116" s="17">
        <v>3</v>
      </c>
      <c r="C116" s="17">
        <v>8</v>
      </c>
      <c r="D116" s="17">
        <v>-1</v>
      </c>
      <c r="E116" s="17">
        <v>-1</v>
      </c>
      <c r="F116" s="17"/>
      <c r="G116" s="17"/>
      <c r="H116" s="17"/>
      <c r="I116" s="17"/>
      <c r="J116" s="17"/>
      <c r="K116" s="17" t="s">
        <v>588</v>
      </c>
      <c r="L116" s="17"/>
      <c r="M116" s="17"/>
      <c r="N116" s="17"/>
      <c r="O116" s="17"/>
      <c r="P116" s="17"/>
      <c r="Q116" s="17"/>
      <c r="R116" s="17"/>
      <c r="S116" s="17"/>
      <c r="T116" s="17"/>
      <c r="U116" s="17"/>
      <c r="V116" s="17"/>
      <c r="W116" s="17"/>
      <c r="X116" s="17"/>
      <c r="Y116" s="17"/>
      <c r="Z116" s="17"/>
      <c r="AA116" s="17"/>
      <c r="AB116" s="17" t="s">
        <v>1746</v>
      </c>
      <c r="AC116" s="17"/>
      <c r="AD116" s="272"/>
      <c r="AE116" s="232"/>
      <c r="AF116" s="225" t="s">
        <v>196</v>
      </c>
      <c r="AG116" s="225"/>
      <c r="AI116" s="159" t="s">
        <v>57</v>
      </c>
      <c r="AJ116" s="159" t="s">
        <v>57</v>
      </c>
      <c r="AK116" s="159" t="s">
        <v>57</v>
      </c>
      <c r="AL116" s="159" t="s">
        <v>57</v>
      </c>
      <c r="AM116" s="159" t="s">
        <v>57</v>
      </c>
      <c r="AN116" s="159" t="s">
        <v>57</v>
      </c>
      <c r="AO116" s="159" t="s">
        <v>57</v>
      </c>
      <c r="AP116" s="159" t="s">
        <v>57</v>
      </c>
      <c r="AQ116" s="159" t="s">
        <v>57</v>
      </c>
      <c r="AR116" s="159" t="s">
        <v>57</v>
      </c>
      <c r="AS116" s="159" t="s">
        <v>57</v>
      </c>
      <c r="AT116" s="159" t="s">
        <v>57</v>
      </c>
      <c r="AU116" s="159" t="s">
        <v>57</v>
      </c>
      <c r="AV116" s="159" t="s">
        <v>57</v>
      </c>
      <c r="AW116" s="159" t="s">
        <v>57</v>
      </c>
      <c r="AX116" s="159" t="s">
        <v>57</v>
      </c>
      <c r="AY116" s="159" t="s">
        <v>57</v>
      </c>
      <c r="AZ116" s="159" t="s">
        <v>57</v>
      </c>
      <c r="BA116" s="159" t="s">
        <v>57</v>
      </c>
    </row>
    <row r="117" spans="1:53" ht="11.25" customHeight="1" x14ac:dyDescent="0.2">
      <c r="A117" s="21">
        <v>85</v>
      </c>
      <c r="B117" s="17">
        <v>3</v>
      </c>
      <c r="C117" s="17">
        <v>9</v>
      </c>
      <c r="D117" s="17">
        <v>-1</v>
      </c>
      <c r="E117" s="17">
        <v>-1</v>
      </c>
      <c r="F117" s="17"/>
      <c r="G117" s="17"/>
      <c r="H117" s="17"/>
      <c r="I117" s="17"/>
      <c r="J117" s="17"/>
      <c r="K117" s="17" t="s">
        <v>588</v>
      </c>
      <c r="L117" s="17"/>
      <c r="M117" s="17"/>
      <c r="N117" s="17"/>
      <c r="O117" s="139" t="s">
        <v>525</v>
      </c>
      <c r="P117" s="17"/>
      <c r="Q117" s="17"/>
      <c r="R117" s="17"/>
      <c r="S117" s="17"/>
      <c r="T117" s="17"/>
      <c r="U117" s="17"/>
      <c r="V117" s="17"/>
      <c r="W117" s="17"/>
      <c r="X117" s="17"/>
      <c r="Y117" s="17"/>
      <c r="Z117" s="17"/>
      <c r="AA117" s="17"/>
      <c r="AB117" s="17" t="s">
        <v>1746</v>
      </c>
      <c r="AC117" s="17"/>
      <c r="AD117" s="272"/>
      <c r="AE117" s="232"/>
      <c r="AF117" s="225" t="s">
        <v>197</v>
      </c>
      <c r="AG117" s="225"/>
      <c r="AI117" s="159" t="s">
        <v>57</v>
      </c>
      <c r="AJ117" s="159" t="s">
        <v>57</v>
      </c>
      <c r="AK117" s="159" t="s">
        <v>57</v>
      </c>
      <c r="AL117" s="159" t="s">
        <v>57</v>
      </c>
      <c r="AM117" s="159" t="s">
        <v>57</v>
      </c>
      <c r="AN117" s="159" t="s">
        <v>57</v>
      </c>
      <c r="AO117" s="159" t="s">
        <v>57</v>
      </c>
      <c r="AP117" s="159" t="s">
        <v>57</v>
      </c>
      <c r="AQ117" s="159" t="s">
        <v>57</v>
      </c>
      <c r="AR117" s="159" t="s">
        <v>57</v>
      </c>
      <c r="AS117" s="159" t="s">
        <v>57</v>
      </c>
      <c r="AT117" s="159" t="s">
        <v>57</v>
      </c>
      <c r="AU117" s="159" t="s">
        <v>57</v>
      </c>
      <c r="AV117" s="159" t="s">
        <v>57</v>
      </c>
      <c r="AW117" s="159" t="s">
        <v>57</v>
      </c>
      <c r="AX117" s="159" t="s">
        <v>57</v>
      </c>
      <c r="AY117" s="159" t="s">
        <v>57</v>
      </c>
      <c r="AZ117" s="159" t="s">
        <v>57</v>
      </c>
      <c r="BA117" s="159" t="s">
        <v>57</v>
      </c>
    </row>
    <row r="118" spans="1:53" ht="11.25" customHeight="1" x14ac:dyDescent="0.2">
      <c r="A118" s="21">
        <v>86</v>
      </c>
      <c r="B118" s="17">
        <v>3</v>
      </c>
      <c r="C118" s="17">
        <v>10</v>
      </c>
      <c r="D118" s="17">
        <v>0</v>
      </c>
      <c r="E118" s="17">
        <v>-1</v>
      </c>
      <c r="F118" s="17"/>
      <c r="G118" s="17"/>
      <c r="H118" s="17"/>
      <c r="I118" s="17"/>
      <c r="J118" s="17"/>
      <c r="K118" s="17"/>
      <c r="L118" s="17"/>
      <c r="M118" s="17"/>
      <c r="N118" s="17"/>
      <c r="O118" s="17"/>
      <c r="P118" s="17"/>
      <c r="Q118" s="17"/>
      <c r="R118" s="17"/>
      <c r="S118" s="17"/>
      <c r="T118" s="17"/>
      <c r="U118" s="17"/>
      <c r="V118" s="17"/>
      <c r="W118" s="17"/>
      <c r="X118" s="17"/>
      <c r="Y118" s="17"/>
      <c r="Z118" s="17"/>
      <c r="AA118" s="17"/>
      <c r="AB118" s="17" t="s">
        <v>1745</v>
      </c>
      <c r="AC118" s="17"/>
      <c r="AD118" s="272"/>
      <c r="AE118" s="233"/>
      <c r="AF118" s="225"/>
      <c r="AG118" s="225"/>
      <c r="AI118" s="159" t="s">
        <v>57</v>
      </c>
      <c r="AJ118" s="159" t="s">
        <v>57</v>
      </c>
      <c r="AK118" s="159" t="s">
        <v>57</v>
      </c>
      <c r="AL118" s="159" t="s">
        <v>57</v>
      </c>
      <c r="AM118" s="159" t="s">
        <v>57</v>
      </c>
      <c r="AN118" s="159" t="s">
        <v>57</v>
      </c>
      <c r="AO118" s="159" t="s">
        <v>57</v>
      </c>
      <c r="AP118" s="159" t="s">
        <v>57</v>
      </c>
      <c r="AQ118" s="159" t="s">
        <v>57</v>
      </c>
      <c r="AR118" s="159" t="s">
        <v>57</v>
      </c>
      <c r="AS118" s="159" t="s">
        <v>57</v>
      </c>
      <c r="AT118" s="159" t="s">
        <v>57</v>
      </c>
      <c r="AU118" s="159" t="s">
        <v>57</v>
      </c>
      <c r="AV118" s="159" t="s">
        <v>57</v>
      </c>
      <c r="AW118" s="159" t="s">
        <v>57</v>
      </c>
      <c r="AX118" s="159" t="s">
        <v>57</v>
      </c>
      <c r="AY118" s="159" t="s">
        <v>57</v>
      </c>
      <c r="AZ118" s="159" t="s">
        <v>57</v>
      </c>
      <c r="BA118" s="159" t="s">
        <v>57</v>
      </c>
    </row>
    <row r="119" spans="1:53" ht="11.25" hidden="1" customHeight="1" x14ac:dyDescent="0.2">
      <c r="A119" s="21">
        <v>87</v>
      </c>
      <c r="B119" s="17">
        <v>3</v>
      </c>
      <c r="C119" s="17">
        <v>11</v>
      </c>
      <c r="D119" s="17">
        <v>0</v>
      </c>
      <c r="E119" s="17">
        <v>0</v>
      </c>
      <c r="F119" s="17"/>
      <c r="G119" s="17"/>
      <c r="H119" s="17"/>
      <c r="I119" s="17"/>
      <c r="J119" s="17"/>
      <c r="K119" s="17"/>
      <c r="L119" s="17"/>
      <c r="M119" s="17"/>
      <c r="N119" s="17"/>
      <c r="O119" s="17"/>
      <c r="P119" s="17"/>
      <c r="Q119" s="17"/>
      <c r="R119" s="17"/>
      <c r="S119" s="17"/>
      <c r="T119" s="17"/>
      <c r="U119" s="17"/>
      <c r="V119" s="17"/>
      <c r="W119" s="17"/>
      <c r="X119" s="17"/>
      <c r="Y119" s="17"/>
      <c r="Z119" s="17"/>
      <c r="AA119" s="17"/>
      <c r="AB119" s="17" t="s">
        <v>1745</v>
      </c>
      <c r="AC119" s="17"/>
      <c r="AD119" s="272"/>
      <c r="AE119" s="233"/>
      <c r="AF119" s="225"/>
      <c r="AG119" s="225"/>
    </row>
    <row r="120" spans="1:53" ht="11.25" hidden="1" customHeight="1" x14ac:dyDescent="0.2">
      <c r="A120" s="21">
        <v>88</v>
      </c>
      <c r="B120" s="17">
        <v>3</v>
      </c>
      <c r="C120" s="17">
        <v>12</v>
      </c>
      <c r="D120" s="17">
        <v>0</v>
      </c>
      <c r="E120" s="17">
        <v>0</v>
      </c>
      <c r="F120" s="17"/>
      <c r="G120" s="17"/>
      <c r="H120" s="17"/>
      <c r="I120" s="17"/>
      <c r="J120" s="17"/>
      <c r="K120" s="17"/>
      <c r="L120" s="17"/>
      <c r="M120" s="17"/>
      <c r="N120" s="17"/>
      <c r="O120" s="17"/>
      <c r="P120" s="17"/>
      <c r="Q120" s="17"/>
      <c r="R120" s="17"/>
      <c r="S120" s="17"/>
      <c r="T120" s="17"/>
      <c r="U120" s="17"/>
      <c r="V120" s="17"/>
      <c r="W120" s="17"/>
      <c r="X120" s="17"/>
      <c r="Y120" s="17"/>
      <c r="Z120" s="17"/>
      <c r="AA120" s="17"/>
      <c r="AB120" s="17" t="s">
        <v>1745</v>
      </c>
      <c r="AC120" s="17"/>
      <c r="AD120" s="272"/>
      <c r="AE120" s="233"/>
      <c r="AF120" s="225"/>
      <c r="AG120" s="225"/>
    </row>
    <row r="121" spans="1:53" ht="11.25" hidden="1" customHeight="1" x14ac:dyDescent="0.2">
      <c r="A121" s="21">
        <v>89</v>
      </c>
      <c r="B121" s="17">
        <v>3</v>
      </c>
      <c r="C121" s="17">
        <v>13</v>
      </c>
      <c r="D121" s="17">
        <v>0</v>
      </c>
      <c r="E121" s="17">
        <v>0</v>
      </c>
      <c r="F121" s="17"/>
      <c r="G121" s="17"/>
      <c r="H121" s="17"/>
      <c r="I121" s="17"/>
      <c r="J121" s="17"/>
      <c r="K121" s="17"/>
      <c r="L121" s="17"/>
      <c r="M121" s="17"/>
      <c r="N121" s="17"/>
      <c r="O121" s="17"/>
      <c r="P121" s="17"/>
      <c r="Q121" s="17"/>
      <c r="R121" s="17"/>
      <c r="S121" s="17"/>
      <c r="T121" s="17"/>
      <c r="U121" s="17"/>
      <c r="V121" s="17"/>
      <c r="W121" s="17"/>
      <c r="X121" s="17"/>
      <c r="Y121" s="17"/>
      <c r="Z121" s="17"/>
      <c r="AA121" s="17"/>
      <c r="AB121" s="17" t="s">
        <v>1745</v>
      </c>
      <c r="AC121" s="17"/>
      <c r="AD121" s="272"/>
      <c r="AE121" s="233"/>
      <c r="AF121" s="225"/>
      <c r="AG121" s="225"/>
    </row>
    <row r="122" spans="1:53" ht="11.25" hidden="1" customHeight="1" x14ac:dyDescent="0.2">
      <c r="A122" s="21">
        <v>90</v>
      </c>
      <c r="B122" s="17">
        <v>3</v>
      </c>
      <c r="C122" s="17">
        <v>14</v>
      </c>
      <c r="D122" s="17">
        <v>0</v>
      </c>
      <c r="E122" s="17">
        <v>0</v>
      </c>
      <c r="F122" s="17"/>
      <c r="G122" s="17"/>
      <c r="H122" s="17"/>
      <c r="I122" s="17"/>
      <c r="J122" s="17"/>
      <c r="K122" s="17"/>
      <c r="L122" s="17"/>
      <c r="M122" s="17"/>
      <c r="N122" s="17"/>
      <c r="O122" s="17"/>
      <c r="P122" s="17"/>
      <c r="Q122" s="17"/>
      <c r="R122" s="17"/>
      <c r="S122" s="17"/>
      <c r="T122" s="17"/>
      <c r="U122" s="17"/>
      <c r="V122" s="17"/>
      <c r="W122" s="17"/>
      <c r="X122" s="17"/>
      <c r="Y122" s="17"/>
      <c r="Z122" s="17"/>
      <c r="AA122" s="17"/>
      <c r="AB122" s="17" t="s">
        <v>1745</v>
      </c>
      <c r="AC122" s="17"/>
      <c r="AD122" s="272"/>
      <c r="AE122" s="232"/>
      <c r="AF122" s="225"/>
      <c r="AG122" s="225"/>
    </row>
    <row r="123" spans="1:53" ht="11.25" hidden="1" customHeight="1" x14ac:dyDescent="0.2">
      <c r="A123" s="21">
        <v>91</v>
      </c>
      <c r="B123" s="17">
        <v>3</v>
      </c>
      <c r="C123" s="17">
        <v>15</v>
      </c>
      <c r="D123" s="17">
        <v>0</v>
      </c>
      <c r="E123" s="17">
        <v>0</v>
      </c>
      <c r="F123" s="17"/>
      <c r="G123" s="17"/>
      <c r="H123" s="17"/>
      <c r="I123" s="17"/>
      <c r="J123" s="17"/>
      <c r="K123" s="17"/>
      <c r="L123" s="17"/>
      <c r="M123" s="17"/>
      <c r="N123" s="17"/>
      <c r="O123" s="17"/>
      <c r="P123" s="17"/>
      <c r="Q123" s="17"/>
      <c r="R123" s="17"/>
      <c r="S123" s="17"/>
      <c r="T123" s="17"/>
      <c r="U123" s="17"/>
      <c r="V123" s="17"/>
      <c r="W123" s="17"/>
      <c r="X123" s="17"/>
      <c r="Y123" s="17"/>
      <c r="Z123" s="17"/>
      <c r="AA123" s="17"/>
      <c r="AB123" s="17" t="s">
        <v>1745</v>
      </c>
      <c r="AC123" s="17"/>
      <c r="AD123" s="272"/>
      <c r="AE123" s="232"/>
      <c r="AF123" s="225"/>
      <c r="AG123" s="225"/>
    </row>
    <row r="124" spans="1:53" ht="11.25" hidden="1" customHeight="1" x14ac:dyDescent="0.2">
      <c r="A124" s="21">
        <v>92</v>
      </c>
      <c r="B124" s="17">
        <v>3</v>
      </c>
      <c r="C124" s="17">
        <v>16</v>
      </c>
      <c r="D124" s="17">
        <v>0</v>
      </c>
      <c r="E124" s="17">
        <v>0</v>
      </c>
      <c r="F124" s="17"/>
      <c r="G124" s="17"/>
      <c r="H124" s="17"/>
      <c r="I124" s="17"/>
      <c r="J124" s="17"/>
      <c r="K124" s="17"/>
      <c r="L124" s="17"/>
      <c r="M124" s="17"/>
      <c r="N124" s="17"/>
      <c r="O124" s="17"/>
      <c r="P124" s="17"/>
      <c r="Q124" s="17"/>
      <c r="R124" s="17"/>
      <c r="S124" s="17"/>
      <c r="T124" s="17"/>
      <c r="U124" s="17"/>
      <c r="V124" s="17"/>
      <c r="W124" s="17"/>
      <c r="X124" s="17"/>
      <c r="Y124" s="17"/>
      <c r="Z124" s="17"/>
      <c r="AA124" s="17"/>
      <c r="AB124" s="17" t="s">
        <v>1745</v>
      </c>
      <c r="AC124" s="17"/>
      <c r="AD124" s="272"/>
      <c r="AE124" s="232"/>
      <c r="AF124" s="225"/>
      <c r="AG124" s="225"/>
    </row>
    <row r="125" spans="1:53" ht="11.25" hidden="1" customHeight="1" x14ac:dyDescent="0.2">
      <c r="A125" s="21">
        <v>93</v>
      </c>
      <c r="B125" s="17">
        <v>3</v>
      </c>
      <c r="C125" s="17">
        <v>17</v>
      </c>
      <c r="D125" s="17">
        <v>0</v>
      </c>
      <c r="E125" s="17">
        <v>0</v>
      </c>
      <c r="F125" s="17"/>
      <c r="G125" s="17"/>
      <c r="H125" s="17"/>
      <c r="I125" s="17"/>
      <c r="J125" s="17"/>
      <c r="K125" s="17"/>
      <c r="L125" s="17"/>
      <c r="M125" s="17"/>
      <c r="N125" s="17"/>
      <c r="O125" s="17"/>
      <c r="P125" s="17"/>
      <c r="Q125" s="17"/>
      <c r="R125" s="17"/>
      <c r="S125" s="17"/>
      <c r="T125" s="17"/>
      <c r="U125" s="17"/>
      <c r="V125" s="17"/>
      <c r="W125" s="17"/>
      <c r="X125" s="17"/>
      <c r="Y125" s="17"/>
      <c r="Z125" s="17"/>
      <c r="AA125" s="17"/>
      <c r="AB125" s="17" t="s">
        <v>1745</v>
      </c>
      <c r="AC125" s="17"/>
      <c r="AD125" s="272"/>
      <c r="AE125" s="232"/>
      <c r="AF125" s="225"/>
      <c r="AG125" s="225"/>
    </row>
    <row r="126" spans="1:53" ht="11.25" hidden="1" customHeight="1" x14ac:dyDescent="0.2">
      <c r="A126" s="21">
        <v>94</v>
      </c>
      <c r="B126" s="17">
        <v>3</v>
      </c>
      <c r="C126" s="17">
        <v>18</v>
      </c>
      <c r="D126" s="17">
        <v>0</v>
      </c>
      <c r="E126" s="17">
        <v>0</v>
      </c>
      <c r="F126" s="17"/>
      <c r="G126" s="17"/>
      <c r="H126" s="17"/>
      <c r="I126" s="17"/>
      <c r="J126" s="17"/>
      <c r="K126" s="17"/>
      <c r="L126" s="17"/>
      <c r="M126" s="17"/>
      <c r="N126" s="17"/>
      <c r="O126" s="17"/>
      <c r="P126" s="17"/>
      <c r="Q126" s="17"/>
      <c r="R126" s="17"/>
      <c r="S126" s="17"/>
      <c r="T126" s="17"/>
      <c r="U126" s="17"/>
      <c r="V126" s="17"/>
      <c r="W126" s="17"/>
      <c r="X126" s="17"/>
      <c r="Y126" s="17"/>
      <c r="Z126" s="17"/>
      <c r="AA126" s="17"/>
      <c r="AB126" s="17" t="s">
        <v>1745</v>
      </c>
      <c r="AC126" s="17"/>
      <c r="AD126" s="272"/>
      <c r="AE126" s="232"/>
      <c r="AF126" s="225"/>
      <c r="AG126" s="225"/>
    </row>
    <row r="127" spans="1:53" ht="11.25" hidden="1" customHeight="1" x14ac:dyDescent="0.2">
      <c r="A127" s="21">
        <v>95</v>
      </c>
      <c r="B127" s="17">
        <v>3</v>
      </c>
      <c r="C127" s="17">
        <v>19</v>
      </c>
      <c r="D127" s="17">
        <v>0</v>
      </c>
      <c r="E127" s="17">
        <v>0</v>
      </c>
      <c r="F127" s="17"/>
      <c r="G127" s="17"/>
      <c r="H127" s="17"/>
      <c r="I127" s="17"/>
      <c r="J127" s="17"/>
      <c r="K127" s="17"/>
      <c r="L127" s="17"/>
      <c r="M127" s="17"/>
      <c r="N127" s="17"/>
      <c r="O127" s="17"/>
      <c r="P127" s="17"/>
      <c r="Q127" s="17"/>
      <c r="R127" s="17"/>
      <c r="S127" s="17"/>
      <c r="T127" s="17"/>
      <c r="U127" s="17"/>
      <c r="V127" s="17"/>
      <c r="W127" s="17"/>
      <c r="X127" s="17"/>
      <c r="Y127" s="17"/>
      <c r="Z127" s="17"/>
      <c r="AA127" s="17"/>
      <c r="AB127" s="17" t="s">
        <v>1745</v>
      </c>
      <c r="AC127" s="17"/>
      <c r="AD127" s="272"/>
      <c r="AE127" s="232"/>
      <c r="AF127" s="225"/>
      <c r="AG127" s="225"/>
    </row>
    <row r="128" spans="1:53" ht="11.25" hidden="1" customHeight="1" x14ac:dyDescent="0.2">
      <c r="A128" s="21">
        <v>96</v>
      </c>
      <c r="B128" s="17">
        <v>3</v>
      </c>
      <c r="C128" s="17">
        <v>20</v>
      </c>
      <c r="D128" s="17">
        <v>0</v>
      </c>
      <c r="E128" s="17">
        <v>0</v>
      </c>
      <c r="F128" s="17"/>
      <c r="G128" s="17"/>
      <c r="H128" s="17"/>
      <c r="I128" s="17"/>
      <c r="J128" s="17"/>
      <c r="K128" s="17"/>
      <c r="L128" s="17"/>
      <c r="M128" s="17"/>
      <c r="N128" s="17"/>
      <c r="O128" s="17"/>
      <c r="P128" s="17"/>
      <c r="Q128" s="17"/>
      <c r="R128" s="17"/>
      <c r="S128" s="17"/>
      <c r="T128" s="17"/>
      <c r="U128" s="17"/>
      <c r="V128" s="17"/>
      <c r="W128" s="17"/>
      <c r="X128" s="17"/>
      <c r="Y128" s="17"/>
      <c r="Z128" s="17"/>
      <c r="AA128" s="17"/>
      <c r="AB128" s="17" t="s">
        <v>1745</v>
      </c>
      <c r="AC128" s="17"/>
      <c r="AD128" s="272"/>
      <c r="AE128" s="232"/>
      <c r="AF128" s="225"/>
      <c r="AG128" s="225"/>
    </row>
    <row r="129" spans="1:53" ht="11.25" hidden="1" customHeight="1" x14ac:dyDescent="0.2">
      <c r="A129" s="21">
        <v>97</v>
      </c>
      <c r="B129" s="17">
        <v>3</v>
      </c>
      <c r="C129" s="17">
        <v>21</v>
      </c>
      <c r="D129" s="17">
        <v>0</v>
      </c>
      <c r="E129" s="17">
        <v>0</v>
      </c>
      <c r="F129" s="17"/>
      <c r="G129" s="17"/>
      <c r="H129" s="17"/>
      <c r="I129" s="17"/>
      <c r="J129" s="17"/>
      <c r="K129" s="17"/>
      <c r="L129" s="17"/>
      <c r="M129" s="17"/>
      <c r="N129" s="17"/>
      <c r="O129" s="17"/>
      <c r="P129" s="17"/>
      <c r="Q129" s="17"/>
      <c r="R129" s="17"/>
      <c r="S129" s="17"/>
      <c r="T129" s="17"/>
      <c r="U129" s="17"/>
      <c r="V129" s="17"/>
      <c r="W129" s="17"/>
      <c r="X129" s="17"/>
      <c r="Y129" s="17"/>
      <c r="Z129" s="17"/>
      <c r="AA129" s="17"/>
      <c r="AB129" s="17" t="s">
        <v>1745</v>
      </c>
      <c r="AC129" s="17"/>
      <c r="AD129" s="272"/>
      <c r="AE129" s="232"/>
      <c r="AF129" s="225"/>
      <c r="AG129" s="225"/>
    </row>
    <row r="130" spans="1:53" ht="11.25" hidden="1" customHeight="1" x14ac:dyDescent="0.2">
      <c r="A130" s="21">
        <v>98</v>
      </c>
      <c r="B130" s="17">
        <v>3</v>
      </c>
      <c r="C130" s="17">
        <v>22</v>
      </c>
      <c r="D130" s="17">
        <v>0</v>
      </c>
      <c r="E130" s="17">
        <v>0</v>
      </c>
      <c r="F130" s="17"/>
      <c r="G130" s="17"/>
      <c r="H130" s="17"/>
      <c r="I130" s="17"/>
      <c r="J130" s="17"/>
      <c r="K130" s="17"/>
      <c r="L130" s="17"/>
      <c r="M130" s="17"/>
      <c r="N130" s="17"/>
      <c r="O130" s="17"/>
      <c r="P130" s="17"/>
      <c r="Q130" s="17"/>
      <c r="R130" s="17"/>
      <c r="S130" s="17"/>
      <c r="T130" s="17"/>
      <c r="U130" s="17"/>
      <c r="V130" s="17"/>
      <c r="W130" s="17"/>
      <c r="X130" s="17"/>
      <c r="Y130" s="17"/>
      <c r="Z130" s="17"/>
      <c r="AA130" s="17"/>
      <c r="AB130" s="17" t="s">
        <v>1745</v>
      </c>
      <c r="AC130" s="17"/>
      <c r="AD130" s="272"/>
      <c r="AE130" s="232"/>
      <c r="AF130" s="225"/>
      <c r="AG130" s="225"/>
    </row>
    <row r="131" spans="1:53" ht="11.25" hidden="1" customHeight="1" x14ac:dyDescent="0.2">
      <c r="A131" s="21">
        <v>99</v>
      </c>
      <c r="B131" s="17">
        <v>3</v>
      </c>
      <c r="C131" s="17">
        <v>23</v>
      </c>
      <c r="D131" s="17">
        <v>0</v>
      </c>
      <c r="E131" s="17">
        <v>0</v>
      </c>
      <c r="F131" s="17"/>
      <c r="G131" s="17"/>
      <c r="H131" s="17"/>
      <c r="I131" s="17"/>
      <c r="J131" s="17"/>
      <c r="K131" s="17"/>
      <c r="L131" s="17"/>
      <c r="M131" s="17"/>
      <c r="N131" s="17"/>
      <c r="O131" s="17"/>
      <c r="P131" s="17"/>
      <c r="Q131" s="17"/>
      <c r="R131" s="17"/>
      <c r="S131" s="17"/>
      <c r="T131" s="17"/>
      <c r="U131" s="17"/>
      <c r="V131" s="17"/>
      <c r="W131" s="17"/>
      <c r="X131" s="17"/>
      <c r="Y131" s="17"/>
      <c r="Z131" s="17"/>
      <c r="AA131" s="17"/>
      <c r="AB131" s="17" t="s">
        <v>1745</v>
      </c>
      <c r="AC131" s="17"/>
      <c r="AD131" s="272"/>
      <c r="AE131" s="232"/>
      <c r="AF131" s="225"/>
      <c r="AG131" s="225"/>
    </row>
    <row r="132" spans="1:53" ht="11.25" hidden="1" customHeight="1" x14ac:dyDescent="0.2">
      <c r="A132" s="21">
        <v>100</v>
      </c>
      <c r="B132" s="17">
        <v>3</v>
      </c>
      <c r="C132" s="17">
        <v>24</v>
      </c>
      <c r="D132" s="17">
        <v>0</v>
      </c>
      <c r="E132" s="17">
        <v>0</v>
      </c>
      <c r="F132" s="17"/>
      <c r="G132" s="17"/>
      <c r="H132" s="17"/>
      <c r="I132" s="17"/>
      <c r="J132" s="17"/>
      <c r="K132" s="17"/>
      <c r="L132" s="17"/>
      <c r="M132" s="17"/>
      <c r="N132" s="17"/>
      <c r="O132" s="17"/>
      <c r="P132" s="17"/>
      <c r="Q132" s="17"/>
      <c r="R132" s="17"/>
      <c r="S132" s="17"/>
      <c r="T132" s="17"/>
      <c r="U132" s="17"/>
      <c r="V132" s="17"/>
      <c r="W132" s="17"/>
      <c r="X132" s="17"/>
      <c r="Y132" s="17"/>
      <c r="Z132" s="17"/>
      <c r="AA132" s="17"/>
      <c r="AB132" s="17" t="s">
        <v>1745</v>
      </c>
      <c r="AC132" s="17"/>
      <c r="AD132" s="272"/>
      <c r="AE132" s="232"/>
      <c r="AF132" s="225"/>
      <c r="AG132" s="225"/>
    </row>
    <row r="133" spans="1:53" ht="11.25" hidden="1" customHeight="1" thickBot="1" x14ac:dyDescent="0.25">
      <c r="A133" s="21">
        <v>101</v>
      </c>
      <c r="B133" s="17">
        <v>3</v>
      </c>
      <c r="C133" s="17">
        <v>25</v>
      </c>
      <c r="D133" s="17">
        <v>0</v>
      </c>
      <c r="E133" s="17">
        <v>0</v>
      </c>
      <c r="F133" s="17"/>
      <c r="G133" s="17"/>
      <c r="H133" s="17"/>
      <c r="I133" s="17"/>
      <c r="J133" s="17"/>
      <c r="K133" s="17"/>
      <c r="L133" s="17"/>
      <c r="M133" s="17"/>
      <c r="N133" s="17"/>
      <c r="O133" s="17"/>
      <c r="P133" s="17"/>
      <c r="Q133" s="17"/>
      <c r="R133" s="17"/>
      <c r="S133" s="17"/>
      <c r="T133" s="17"/>
      <c r="U133" s="17"/>
      <c r="V133" s="17"/>
      <c r="W133" s="17"/>
      <c r="X133" s="17"/>
      <c r="Y133" s="17"/>
      <c r="Z133" s="17"/>
      <c r="AA133" s="17"/>
      <c r="AB133" s="17" t="s">
        <v>1745</v>
      </c>
      <c r="AC133" s="17"/>
      <c r="AD133" s="272"/>
      <c r="AE133" s="232"/>
      <c r="AF133" s="231"/>
      <c r="AG133" s="231"/>
    </row>
    <row r="134" spans="1:53" ht="11.25" customHeight="1" x14ac:dyDescent="0.2">
      <c r="A134" s="21">
        <v>102</v>
      </c>
      <c r="B134" s="20">
        <v>4</v>
      </c>
      <c r="C134" s="20">
        <v>1</v>
      </c>
      <c r="D134" s="20">
        <v>-1</v>
      </c>
      <c r="E134" s="20">
        <v>-1</v>
      </c>
      <c r="F134" s="20" t="s">
        <v>508</v>
      </c>
      <c r="G134" s="20" t="s">
        <v>532</v>
      </c>
      <c r="H134" s="20"/>
      <c r="I134" s="20"/>
      <c r="J134" s="20"/>
      <c r="K134" s="20" t="s">
        <v>94</v>
      </c>
      <c r="L134" s="20" t="s">
        <v>100</v>
      </c>
      <c r="M134" s="20" t="s">
        <v>207</v>
      </c>
      <c r="N134" s="20"/>
      <c r="O134" s="20" t="s">
        <v>738</v>
      </c>
      <c r="P134" s="20"/>
      <c r="Q134" s="20"/>
      <c r="R134" s="20"/>
      <c r="S134" s="20"/>
      <c r="T134" s="20"/>
      <c r="U134" s="20"/>
      <c r="V134" s="20"/>
      <c r="W134" s="20" t="s">
        <v>102</v>
      </c>
      <c r="X134" s="20" t="s">
        <v>101</v>
      </c>
      <c r="Y134" s="20" t="s">
        <v>102</v>
      </c>
      <c r="Z134" s="20" t="s">
        <v>404</v>
      </c>
      <c r="AA134" s="42" t="s">
        <v>372</v>
      </c>
      <c r="AB134" s="20" t="s">
        <v>1745</v>
      </c>
      <c r="AC134" s="20" t="s">
        <v>404</v>
      </c>
      <c r="AD134" s="272"/>
      <c r="AE134" s="238" t="str">
        <f>Admin!$D$6</f>
        <v>FIELD</v>
      </c>
      <c r="AF134" s="225" t="s">
        <v>190</v>
      </c>
      <c r="AG134" s="225"/>
      <c r="AI134" s="159" t="s">
        <v>57</v>
      </c>
      <c r="AJ134" s="159" t="s">
        <v>57</v>
      </c>
      <c r="AK134" s="159" t="s">
        <v>57</v>
      </c>
      <c r="AL134" s="159" t="s">
        <v>57</v>
      </c>
      <c r="AM134" s="159" t="s">
        <v>57</v>
      </c>
      <c r="AN134" s="159" t="s">
        <v>57</v>
      </c>
      <c r="AO134" s="159" t="s">
        <v>57</v>
      </c>
      <c r="AP134" s="204" t="s">
        <v>57</v>
      </c>
      <c r="AQ134" s="204" t="s">
        <v>57</v>
      </c>
      <c r="AR134" s="204" t="s">
        <v>57</v>
      </c>
      <c r="AS134" s="204" t="s">
        <v>57</v>
      </c>
      <c r="AT134" s="204" t="s">
        <v>57</v>
      </c>
      <c r="AU134" s="204" t="s">
        <v>57</v>
      </c>
      <c r="AV134" s="204" t="s">
        <v>57</v>
      </c>
      <c r="AW134" s="159" t="s">
        <v>57</v>
      </c>
      <c r="AX134" s="159" t="s">
        <v>57</v>
      </c>
      <c r="AY134" s="159" t="s">
        <v>57</v>
      </c>
      <c r="AZ134" s="159" t="s">
        <v>57</v>
      </c>
      <c r="BA134" s="159" t="s">
        <v>57</v>
      </c>
    </row>
    <row r="135" spans="1:53" ht="11.25" customHeight="1" x14ac:dyDescent="0.2">
      <c r="A135" s="21">
        <v>103</v>
      </c>
      <c r="B135" s="20">
        <v>4</v>
      </c>
      <c r="C135" s="20">
        <v>2</v>
      </c>
      <c r="D135" s="20">
        <v>-1</v>
      </c>
      <c r="E135" s="20">
        <v>-1</v>
      </c>
      <c r="F135" s="20" t="s">
        <v>509</v>
      </c>
      <c r="G135" s="20" t="s">
        <v>532</v>
      </c>
      <c r="H135" s="20"/>
      <c r="I135" s="20"/>
      <c r="J135" s="20"/>
      <c r="K135" s="20" t="s">
        <v>94</v>
      </c>
      <c r="L135" s="20" t="s">
        <v>100</v>
      </c>
      <c r="M135" s="20" t="s">
        <v>207</v>
      </c>
      <c r="N135" s="20"/>
      <c r="O135" s="20" t="s">
        <v>739</v>
      </c>
      <c r="P135" s="20"/>
      <c r="Q135" s="20"/>
      <c r="R135" s="20"/>
      <c r="S135" s="20"/>
      <c r="T135" s="20"/>
      <c r="U135" s="20"/>
      <c r="V135" s="20"/>
      <c r="W135" s="20" t="s">
        <v>102</v>
      </c>
      <c r="X135" s="20" t="s">
        <v>101</v>
      </c>
      <c r="Y135" s="20" t="s">
        <v>102</v>
      </c>
      <c r="Z135" s="20" t="s">
        <v>405</v>
      </c>
      <c r="AA135" s="42" t="s">
        <v>373</v>
      </c>
      <c r="AB135" s="20" t="s">
        <v>1745</v>
      </c>
      <c r="AC135" s="20" t="s">
        <v>405</v>
      </c>
      <c r="AD135" s="272"/>
      <c r="AE135" s="238"/>
      <c r="AF135" s="225" t="s">
        <v>500</v>
      </c>
      <c r="AG135" s="225"/>
      <c r="AI135" s="159" t="s">
        <v>57</v>
      </c>
      <c r="AJ135" s="159" t="s">
        <v>57</v>
      </c>
      <c r="AK135" s="159" t="s">
        <v>57</v>
      </c>
      <c r="AL135" s="159" t="s">
        <v>57</v>
      </c>
      <c r="AM135" s="159" t="s">
        <v>57</v>
      </c>
      <c r="AN135" s="159" t="s">
        <v>57</v>
      </c>
      <c r="AO135" s="159" t="s">
        <v>57</v>
      </c>
      <c r="AP135" s="204" t="s">
        <v>57</v>
      </c>
      <c r="AQ135" s="204" t="s">
        <v>57</v>
      </c>
      <c r="AR135" s="204" t="s">
        <v>57</v>
      </c>
      <c r="AS135" s="204" t="s">
        <v>57</v>
      </c>
      <c r="AT135" s="204" t="s">
        <v>57</v>
      </c>
      <c r="AU135" s="204" t="s">
        <v>57</v>
      </c>
      <c r="AV135" s="204" t="s">
        <v>57</v>
      </c>
      <c r="AW135" s="159" t="s">
        <v>57</v>
      </c>
      <c r="AX135" s="159" t="s">
        <v>57</v>
      </c>
      <c r="AY135" s="159" t="s">
        <v>57</v>
      </c>
      <c r="AZ135" s="159" t="s">
        <v>57</v>
      </c>
      <c r="BA135" s="159" t="s">
        <v>57</v>
      </c>
    </row>
    <row r="136" spans="1:53" ht="11.25" customHeight="1" x14ac:dyDescent="0.2">
      <c r="A136" s="21">
        <v>104</v>
      </c>
      <c r="B136" s="20">
        <v>4</v>
      </c>
      <c r="C136" s="20">
        <v>3</v>
      </c>
      <c r="D136" s="20">
        <v>-1</v>
      </c>
      <c r="E136" s="20">
        <v>-1</v>
      </c>
      <c r="F136" s="20" t="s">
        <v>510</v>
      </c>
      <c r="G136" s="20" t="s">
        <v>532</v>
      </c>
      <c r="H136" s="20"/>
      <c r="I136" s="20"/>
      <c r="J136" s="20"/>
      <c r="K136" s="20" t="s">
        <v>94</v>
      </c>
      <c r="L136" s="20" t="s">
        <v>100</v>
      </c>
      <c r="M136" s="20" t="s">
        <v>207</v>
      </c>
      <c r="N136" s="20"/>
      <c r="O136" s="20"/>
      <c r="P136" s="20"/>
      <c r="Q136" s="20"/>
      <c r="R136" s="20"/>
      <c r="S136" s="20"/>
      <c r="T136" s="20"/>
      <c r="U136" s="20"/>
      <c r="V136" s="20"/>
      <c r="W136" s="20" t="s">
        <v>102</v>
      </c>
      <c r="X136" s="20" t="s">
        <v>101</v>
      </c>
      <c r="Y136" s="20" t="s">
        <v>102</v>
      </c>
      <c r="Z136" s="20" t="s">
        <v>406</v>
      </c>
      <c r="AA136" s="42" t="s">
        <v>374</v>
      </c>
      <c r="AB136" s="20" t="s">
        <v>1745</v>
      </c>
      <c r="AC136" s="20" t="s">
        <v>406</v>
      </c>
      <c r="AD136" s="272"/>
      <c r="AE136" s="238"/>
      <c r="AF136" s="225" t="s">
        <v>191</v>
      </c>
      <c r="AG136" s="225"/>
      <c r="AI136" s="159" t="s">
        <v>57</v>
      </c>
      <c r="AJ136" s="159" t="s">
        <v>57</v>
      </c>
      <c r="AK136" s="159" t="s">
        <v>57</v>
      </c>
      <c r="AL136" s="159" t="s">
        <v>57</v>
      </c>
      <c r="AM136" s="159" t="s">
        <v>57</v>
      </c>
      <c r="AN136" s="159" t="s">
        <v>57</v>
      </c>
      <c r="AO136" s="159" t="s">
        <v>57</v>
      </c>
      <c r="AP136" s="204" t="s">
        <v>57</v>
      </c>
      <c r="AQ136" s="204" t="s">
        <v>57</v>
      </c>
      <c r="AR136" s="204" t="s">
        <v>57</v>
      </c>
      <c r="AS136" s="204" t="s">
        <v>57</v>
      </c>
      <c r="AT136" s="204" t="s">
        <v>57</v>
      </c>
      <c r="AU136" s="204" t="s">
        <v>57</v>
      </c>
      <c r="AV136" s="204" t="s">
        <v>57</v>
      </c>
      <c r="AW136" s="159" t="s">
        <v>57</v>
      </c>
      <c r="AX136" s="159" t="s">
        <v>57</v>
      </c>
      <c r="AY136" s="159" t="s">
        <v>57</v>
      </c>
      <c r="AZ136" s="159" t="s">
        <v>57</v>
      </c>
      <c r="BA136" s="159" t="s">
        <v>57</v>
      </c>
    </row>
    <row r="137" spans="1:53" ht="11.25" customHeight="1" x14ac:dyDescent="0.2">
      <c r="A137" s="21">
        <v>105</v>
      </c>
      <c r="B137" s="20">
        <v>4</v>
      </c>
      <c r="C137" s="20">
        <v>4</v>
      </c>
      <c r="D137" s="20">
        <v>-1</v>
      </c>
      <c r="E137" s="20">
        <v>-1</v>
      </c>
      <c r="F137" s="20" t="s">
        <v>385</v>
      </c>
      <c r="G137" s="20" t="s">
        <v>532</v>
      </c>
      <c r="H137" s="20"/>
      <c r="I137" s="20"/>
      <c r="J137" s="20"/>
      <c r="K137" s="20" t="s">
        <v>94</v>
      </c>
      <c r="L137" s="20" t="s">
        <v>100</v>
      </c>
      <c r="M137" s="20" t="s">
        <v>207</v>
      </c>
      <c r="N137" s="20"/>
      <c r="O137" s="20" t="s">
        <v>2815</v>
      </c>
      <c r="P137" s="20"/>
      <c r="Q137" s="20"/>
      <c r="R137" s="20"/>
      <c r="S137" s="20"/>
      <c r="T137" s="20"/>
      <c r="U137" s="20"/>
      <c r="V137" s="20"/>
      <c r="W137" s="20" t="s">
        <v>102</v>
      </c>
      <c r="X137" s="20" t="s">
        <v>101</v>
      </c>
      <c r="Y137" s="20" t="s">
        <v>102</v>
      </c>
      <c r="Z137" s="20" t="s">
        <v>407</v>
      </c>
      <c r="AA137" s="42" t="s">
        <v>375</v>
      </c>
      <c r="AB137" s="20" t="s">
        <v>1745</v>
      </c>
      <c r="AC137" s="20" t="s">
        <v>407</v>
      </c>
      <c r="AD137" s="272"/>
      <c r="AE137" s="238"/>
      <c r="AF137" s="225" t="s">
        <v>192</v>
      </c>
      <c r="AG137" s="225"/>
      <c r="AI137" s="159" t="s">
        <v>57</v>
      </c>
      <c r="AJ137" s="159" t="s">
        <v>57</v>
      </c>
      <c r="AK137" s="159" t="s">
        <v>57</v>
      </c>
      <c r="AL137" s="159" t="s">
        <v>57</v>
      </c>
      <c r="AM137" s="159" t="s">
        <v>57</v>
      </c>
      <c r="AN137" s="159" t="s">
        <v>57</v>
      </c>
      <c r="AO137" s="159" t="s">
        <v>57</v>
      </c>
      <c r="AP137" s="204" t="s">
        <v>57</v>
      </c>
      <c r="AQ137" s="204" t="s">
        <v>57</v>
      </c>
      <c r="AR137" s="204" t="s">
        <v>57</v>
      </c>
      <c r="AS137" s="204" t="s">
        <v>57</v>
      </c>
      <c r="AT137" s="204" t="s">
        <v>57</v>
      </c>
      <c r="AU137" s="204" t="s">
        <v>57</v>
      </c>
      <c r="AV137" s="204" t="s">
        <v>57</v>
      </c>
      <c r="AW137" s="159" t="s">
        <v>57</v>
      </c>
      <c r="AX137" s="159" t="s">
        <v>57</v>
      </c>
      <c r="AY137" s="159" t="s">
        <v>57</v>
      </c>
      <c r="AZ137" s="159" t="s">
        <v>57</v>
      </c>
      <c r="BA137" s="159" t="s">
        <v>57</v>
      </c>
    </row>
    <row r="138" spans="1:53" ht="11.25" customHeight="1" x14ac:dyDescent="0.2">
      <c r="A138" s="21">
        <v>106</v>
      </c>
      <c r="B138" s="20">
        <v>4</v>
      </c>
      <c r="C138" s="20">
        <v>5</v>
      </c>
      <c r="D138" s="20">
        <v>-1</v>
      </c>
      <c r="E138" s="20">
        <v>-1</v>
      </c>
      <c r="F138" s="20" t="s">
        <v>386</v>
      </c>
      <c r="G138" s="20" t="s">
        <v>532</v>
      </c>
      <c r="H138" s="20"/>
      <c r="I138" s="20"/>
      <c r="J138" s="20"/>
      <c r="K138" s="20" t="s">
        <v>94</v>
      </c>
      <c r="L138" s="20" t="s">
        <v>100</v>
      </c>
      <c r="M138" s="20" t="s">
        <v>207</v>
      </c>
      <c r="N138" s="20"/>
      <c r="O138" s="20" t="s">
        <v>740</v>
      </c>
      <c r="P138" s="20"/>
      <c r="Q138" s="20"/>
      <c r="R138" s="20"/>
      <c r="S138" s="20"/>
      <c r="T138" s="20"/>
      <c r="U138" s="20"/>
      <c r="V138" s="20"/>
      <c r="W138" s="20" t="s">
        <v>102</v>
      </c>
      <c r="X138" s="20" t="s">
        <v>101</v>
      </c>
      <c r="Y138" s="20" t="s">
        <v>102</v>
      </c>
      <c r="Z138" s="20" t="s">
        <v>408</v>
      </c>
      <c r="AA138" s="42" t="s">
        <v>376</v>
      </c>
      <c r="AB138" s="20" t="s">
        <v>1745</v>
      </c>
      <c r="AC138" s="20" t="s">
        <v>408</v>
      </c>
      <c r="AD138" s="272"/>
      <c r="AE138" s="238"/>
      <c r="AF138" s="225" t="s">
        <v>193</v>
      </c>
      <c r="AG138" s="225"/>
      <c r="AI138" s="159" t="s">
        <v>57</v>
      </c>
      <c r="AJ138" s="159" t="s">
        <v>57</v>
      </c>
      <c r="AK138" s="159" t="s">
        <v>57</v>
      </c>
      <c r="AL138" s="159" t="s">
        <v>57</v>
      </c>
      <c r="AM138" s="159" t="s">
        <v>57</v>
      </c>
      <c r="AN138" s="159" t="s">
        <v>57</v>
      </c>
      <c r="AO138" s="159" t="s">
        <v>57</v>
      </c>
      <c r="AP138" s="204" t="s">
        <v>57</v>
      </c>
      <c r="AQ138" s="204" t="s">
        <v>57</v>
      </c>
      <c r="AR138" s="204" t="s">
        <v>57</v>
      </c>
      <c r="AS138" s="204" t="s">
        <v>57</v>
      </c>
      <c r="AT138" s="204" t="s">
        <v>57</v>
      </c>
      <c r="AU138" s="204" t="s">
        <v>57</v>
      </c>
      <c r="AV138" s="204" t="s">
        <v>57</v>
      </c>
      <c r="AW138" s="159" t="s">
        <v>57</v>
      </c>
      <c r="AX138" s="159" t="s">
        <v>57</v>
      </c>
      <c r="AY138" s="159" t="s">
        <v>57</v>
      </c>
      <c r="AZ138" s="159" t="s">
        <v>57</v>
      </c>
      <c r="BA138" s="159" t="s">
        <v>57</v>
      </c>
    </row>
    <row r="139" spans="1:53" ht="11.25" customHeight="1" x14ac:dyDescent="0.2">
      <c r="A139" s="21">
        <v>107</v>
      </c>
      <c r="B139" s="20">
        <v>4</v>
      </c>
      <c r="C139" s="20">
        <v>6</v>
      </c>
      <c r="D139" s="20">
        <v>-1</v>
      </c>
      <c r="E139" s="20">
        <v>-1</v>
      </c>
      <c r="F139" s="20" t="s">
        <v>387</v>
      </c>
      <c r="G139" s="20" t="s">
        <v>532</v>
      </c>
      <c r="H139" s="20"/>
      <c r="I139" s="20"/>
      <c r="J139" s="20"/>
      <c r="K139" s="20" t="s">
        <v>94</v>
      </c>
      <c r="L139" s="20" t="s">
        <v>100</v>
      </c>
      <c r="M139" s="20" t="s">
        <v>207</v>
      </c>
      <c r="N139" s="20"/>
      <c r="O139" s="20" t="s">
        <v>741</v>
      </c>
      <c r="P139" s="20"/>
      <c r="Q139" s="20"/>
      <c r="R139" s="20"/>
      <c r="S139" s="20"/>
      <c r="T139" s="20"/>
      <c r="U139" s="20"/>
      <c r="V139" s="20"/>
      <c r="W139" s="20" t="s">
        <v>102</v>
      </c>
      <c r="X139" s="20" t="s">
        <v>101</v>
      </c>
      <c r="Y139" s="20" t="s">
        <v>102</v>
      </c>
      <c r="Z139" s="20" t="s">
        <v>409</v>
      </c>
      <c r="AA139" s="42" t="s">
        <v>377</v>
      </c>
      <c r="AB139" s="20" t="s">
        <v>1745</v>
      </c>
      <c r="AC139" s="20" t="s">
        <v>409</v>
      </c>
      <c r="AD139" s="272"/>
      <c r="AE139" s="238"/>
      <c r="AF139" s="225" t="s">
        <v>194</v>
      </c>
      <c r="AG139" s="225"/>
      <c r="AI139" s="159" t="s">
        <v>57</v>
      </c>
      <c r="AJ139" s="159" t="s">
        <v>57</v>
      </c>
      <c r="AK139" s="159" t="s">
        <v>57</v>
      </c>
      <c r="AL139" s="159" t="s">
        <v>57</v>
      </c>
      <c r="AM139" s="159" t="s">
        <v>57</v>
      </c>
      <c r="AN139" s="159" t="s">
        <v>57</v>
      </c>
      <c r="AO139" s="159" t="s">
        <v>57</v>
      </c>
      <c r="AP139" s="204" t="s">
        <v>57</v>
      </c>
      <c r="AQ139" s="204" t="s">
        <v>57</v>
      </c>
      <c r="AR139" s="204" t="s">
        <v>57</v>
      </c>
      <c r="AS139" s="204" t="s">
        <v>57</v>
      </c>
      <c r="AT139" s="204" t="s">
        <v>57</v>
      </c>
      <c r="AU139" s="204" t="s">
        <v>57</v>
      </c>
      <c r="AV139" s="204" t="s">
        <v>57</v>
      </c>
      <c r="AW139" s="159" t="s">
        <v>57</v>
      </c>
      <c r="AX139" s="159" t="s">
        <v>57</v>
      </c>
      <c r="AY139" s="159" t="s">
        <v>57</v>
      </c>
      <c r="AZ139" s="159" t="s">
        <v>57</v>
      </c>
      <c r="BA139" s="159" t="s">
        <v>57</v>
      </c>
    </row>
    <row r="140" spans="1:53" ht="11.25" customHeight="1" x14ac:dyDescent="0.2">
      <c r="A140" s="21">
        <v>108</v>
      </c>
      <c r="B140" s="20">
        <v>4</v>
      </c>
      <c r="C140" s="20">
        <v>7</v>
      </c>
      <c r="D140" s="20">
        <v>-1</v>
      </c>
      <c r="E140" s="20">
        <v>-1</v>
      </c>
      <c r="F140" s="20" t="s">
        <v>646</v>
      </c>
      <c r="G140" s="20"/>
      <c r="H140" s="20"/>
      <c r="I140" s="20"/>
      <c r="J140" s="20"/>
      <c r="K140" s="20" t="s">
        <v>97</v>
      </c>
      <c r="L140" s="20" t="s">
        <v>254</v>
      </c>
      <c r="M140" s="20" t="s">
        <v>207</v>
      </c>
      <c r="N140" s="20"/>
      <c r="O140" s="20" t="s">
        <v>518</v>
      </c>
      <c r="P140" s="20"/>
      <c r="Q140" s="20"/>
      <c r="R140" s="20"/>
      <c r="S140" s="20"/>
      <c r="T140" s="20"/>
      <c r="U140" s="20"/>
      <c r="V140" s="20"/>
      <c r="W140" s="20"/>
      <c r="X140" s="20"/>
      <c r="Y140" s="20"/>
      <c r="Z140" s="20"/>
      <c r="AA140" s="20"/>
      <c r="AB140" s="20"/>
      <c r="AC140" s="20"/>
      <c r="AD140" s="272"/>
      <c r="AE140" s="238"/>
      <c r="AF140" s="225" t="s">
        <v>528</v>
      </c>
      <c r="AG140" s="225"/>
      <c r="AI140" s="159" t="s">
        <v>57</v>
      </c>
      <c r="AJ140" s="159" t="s">
        <v>57</v>
      </c>
      <c r="AK140" s="159" t="s">
        <v>57</v>
      </c>
      <c r="AL140" s="159" t="s">
        <v>57</v>
      </c>
      <c r="AM140" s="159" t="s">
        <v>57</v>
      </c>
      <c r="AN140" s="159" t="s">
        <v>57</v>
      </c>
      <c r="AO140" s="159" t="s">
        <v>57</v>
      </c>
      <c r="AP140" s="159" t="s">
        <v>57</v>
      </c>
      <c r="AQ140" s="159" t="s">
        <v>57</v>
      </c>
      <c r="AR140" s="159" t="s">
        <v>57</v>
      </c>
      <c r="AS140" s="159" t="s">
        <v>57</v>
      </c>
      <c r="AT140" s="159" t="s">
        <v>57</v>
      </c>
      <c r="AU140" s="159" t="s">
        <v>57</v>
      </c>
      <c r="AV140" s="159" t="s">
        <v>57</v>
      </c>
      <c r="AW140" s="159" t="s">
        <v>57</v>
      </c>
      <c r="AX140" s="159" t="s">
        <v>57</v>
      </c>
      <c r="AY140" s="159" t="s">
        <v>57</v>
      </c>
      <c r="AZ140" s="159" t="s">
        <v>57</v>
      </c>
      <c r="BA140" s="159" t="s">
        <v>57</v>
      </c>
    </row>
    <row r="141" spans="1:53" ht="11.25" customHeight="1" x14ac:dyDescent="0.2">
      <c r="A141" s="21">
        <v>109</v>
      </c>
      <c r="B141" s="20">
        <v>4</v>
      </c>
      <c r="C141" s="20">
        <v>8</v>
      </c>
      <c r="D141" s="20">
        <v>0</v>
      </c>
      <c r="E141" s="20">
        <v>-1</v>
      </c>
      <c r="F141" s="20"/>
      <c r="G141" s="20"/>
      <c r="H141" s="20"/>
      <c r="I141" s="20"/>
      <c r="J141" s="20"/>
      <c r="K141" s="20"/>
      <c r="L141" s="20"/>
      <c r="M141" s="20"/>
      <c r="N141" s="20"/>
      <c r="O141" s="20"/>
      <c r="P141" s="20"/>
      <c r="Q141" s="20"/>
      <c r="R141" s="20"/>
      <c r="S141" s="20"/>
      <c r="T141" s="20"/>
      <c r="U141" s="20"/>
      <c r="V141" s="20"/>
      <c r="W141" s="20"/>
      <c r="X141" s="20"/>
      <c r="Y141" s="20"/>
      <c r="Z141" s="20"/>
      <c r="AA141" s="20"/>
      <c r="AB141" s="20" t="s">
        <v>1745</v>
      </c>
      <c r="AC141" s="20"/>
      <c r="AD141" s="272"/>
      <c r="AE141" s="239"/>
      <c r="AF141" s="225"/>
      <c r="AG141" s="225"/>
      <c r="AI141" s="159" t="s">
        <v>57</v>
      </c>
      <c r="AJ141" s="159" t="s">
        <v>57</v>
      </c>
      <c r="AK141" s="159" t="s">
        <v>57</v>
      </c>
      <c r="AL141" s="159" t="s">
        <v>57</v>
      </c>
      <c r="AM141" s="159" t="s">
        <v>57</v>
      </c>
      <c r="AN141" s="159" t="s">
        <v>57</v>
      </c>
      <c r="AO141" s="159" t="s">
        <v>57</v>
      </c>
      <c r="AP141" s="159" t="s">
        <v>57</v>
      </c>
      <c r="AQ141" s="159" t="s">
        <v>57</v>
      </c>
      <c r="AR141" s="159" t="s">
        <v>57</v>
      </c>
      <c r="AS141" s="159" t="s">
        <v>57</v>
      </c>
      <c r="AT141" s="159" t="s">
        <v>57</v>
      </c>
      <c r="AU141" s="159" t="s">
        <v>57</v>
      </c>
      <c r="AV141" s="159" t="s">
        <v>57</v>
      </c>
      <c r="AW141" s="159" t="s">
        <v>57</v>
      </c>
      <c r="AX141" s="159" t="s">
        <v>57</v>
      </c>
      <c r="AY141" s="159" t="s">
        <v>57</v>
      </c>
      <c r="AZ141" s="159" t="s">
        <v>57</v>
      </c>
      <c r="BA141" s="159" t="s">
        <v>57</v>
      </c>
    </row>
    <row r="142" spans="1:53" ht="11.25" hidden="1" customHeight="1" x14ac:dyDescent="0.2">
      <c r="A142" s="21">
        <v>110</v>
      </c>
      <c r="B142" s="20">
        <v>4</v>
      </c>
      <c r="C142" s="20">
        <v>9</v>
      </c>
      <c r="D142" s="20">
        <v>0</v>
      </c>
      <c r="E142" s="20">
        <v>0</v>
      </c>
      <c r="F142" s="20"/>
      <c r="G142" s="20"/>
      <c r="H142" s="20"/>
      <c r="I142" s="20"/>
      <c r="J142" s="20"/>
      <c r="K142" s="20"/>
      <c r="L142" s="20"/>
      <c r="M142" s="20"/>
      <c r="N142" s="20"/>
      <c r="O142" s="20"/>
      <c r="P142" s="20"/>
      <c r="Q142" s="20"/>
      <c r="R142" s="20"/>
      <c r="S142" s="20"/>
      <c r="T142" s="20"/>
      <c r="U142" s="20"/>
      <c r="V142" s="20"/>
      <c r="W142" s="20"/>
      <c r="X142" s="20"/>
      <c r="Y142" s="20"/>
      <c r="Z142" s="20"/>
      <c r="AA142" s="42"/>
      <c r="AB142" s="20" t="s">
        <v>1745</v>
      </c>
      <c r="AC142" s="20"/>
      <c r="AD142" s="272"/>
      <c r="AE142" s="238"/>
      <c r="AF142" s="225"/>
      <c r="AG142" s="225"/>
    </row>
    <row r="143" spans="1:53" ht="11.25" hidden="1" customHeight="1" x14ac:dyDescent="0.2">
      <c r="A143" s="21">
        <v>111</v>
      </c>
      <c r="B143" s="20">
        <v>4</v>
      </c>
      <c r="C143" s="20">
        <v>10</v>
      </c>
      <c r="D143" s="20">
        <v>0</v>
      </c>
      <c r="E143" s="20">
        <v>0</v>
      </c>
      <c r="F143" s="20"/>
      <c r="G143" s="20"/>
      <c r="H143" s="20"/>
      <c r="I143" s="20"/>
      <c r="J143" s="20"/>
      <c r="K143" s="20"/>
      <c r="L143" s="20"/>
      <c r="M143" s="20"/>
      <c r="N143" s="20"/>
      <c r="O143" s="20"/>
      <c r="P143" s="20"/>
      <c r="Q143" s="20"/>
      <c r="R143" s="20"/>
      <c r="S143" s="20"/>
      <c r="T143" s="20"/>
      <c r="U143" s="20"/>
      <c r="V143" s="20"/>
      <c r="W143" s="20"/>
      <c r="X143" s="20"/>
      <c r="Y143" s="20"/>
      <c r="Z143" s="20"/>
      <c r="AA143" s="20"/>
      <c r="AB143" s="20" t="s">
        <v>1745</v>
      </c>
      <c r="AC143" s="20"/>
      <c r="AD143" s="272"/>
      <c r="AE143" s="238"/>
      <c r="AF143" s="225"/>
      <c r="AG143" s="225"/>
    </row>
    <row r="144" spans="1:53" ht="11.25" hidden="1" customHeight="1" x14ac:dyDescent="0.2">
      <c r="A144" s="21">
        <v>112</v>
      </c>
      <c r="B144" s="20">
        <v>4</v>
      </c>
      <c r="C144" s="20">
        <v>11</v>
      </c>
      <c r="D144" s="20">
        <v>0</v>
      </c>
      <c r="E144" s="20">
        <v>0</v>
      </c>
      <c r="F144" s="20"/>
      <c r="G144" s="20"/>
      <c r="H144" s="20"/>
      <c r="I144" s="20"/>
      <c r="J144" s="20"/>
      <c r="K144" s="20"/>
      <c r="L144" s="20"/>
      <c r="M144" s="20"/>
      <c r="N144" s="20"/>
      <c r="O144" s="20"/>
      <c r="P144" s="20"/>
      <c r="Q144" s="20"/>
      <c r="R144" s="20"/>
      <c r="S144" s="20"/>
      <c r="T144" s="20"/>
      <c r="U144" s="20"/>
      <c r="V144" s="20"/>
      <c r="W144" s="20"/>
      <c r="X144" s="20"/>
      <c r="Y144" s="20"/>
      <c r="Z144" s="20"/>
      <c r="AA144" s="20"/>
      <c r="AB144" s="20" t="s">
        <v>1745</v>
      </c>
      <c r="AC144" s="20"/>
      <c r="AD144" s="272"/>
      <c r="AE144" s="238"/>
      <c r="AF144" s="225"/>
      <c r="AG144" s="225"/>
    </row>
    <row r="145" spans="1:53" ht="11.25" hidden="1" customHeight="1" x14ac:dyDescent="0.2">
      <c r="A145" s="21">
        <v>113</v>
      </c>
      <c r="B145" s="20">
        <v>4</v>
      </c>
      <c r="C145" s="20">
        <v>12</v>
      </c>
      <c r="D145" s="20">
        <v>0</v>
      </c>
      <c r="E145" s="20">
        <v>0</v>
      </c>
      <c r="F145" s="20"/>
      <c r="G145" s="20"/>
      <c r="H145" s="20"/>
      <c r="I145" s="20"/>
      <c r="J145" s="20"/>
      <c r="K145" s="20"/>
      <c r="L145" s="20"/>
      <c r="M145" s="20"/>
      <c r="N145" s="20"/>
      <c r="O145" s="20"/>
      <c r="P145" s="20"/>
      <c r="Q145" s="20"/>
      <c r="R145" s="20"/>
      <c r="S145" s="20"/>
      <c r="T145" s="20"/>
      <c r="U145" s="20"/>
      <c r="V145" s="20"/>
      <c r="W145" s="20"/>
      <c r="X145" s="20"/>
      <c r="Y145" s="20"/>
      <c r="Z145" s="20"/>
      <c r="AA145" s="20"/>
      <c r="AB145" s="20" t="s">
        <v>1745</v>
      </c>
      <c r="AC145" s="20"/>
      <c r="AD145" s="272"/>
      <c r="AE145" s="238"/>
      <c r="AF145" s="225"/>
      <c r="AG145" s="225"/>
    </row>
    <row r="146" spans="1:53" ht="11.25" hidden="1" customHeight="1" x14ac:dyDescent="0.2">
      <c r="A146" s="21">
        <v>114</v>
      </c>
      <c r="B146" s="20">
        <v>4</v>
      </c>
      <c r="C146" s="20">
        <v>13</v>
      </c>
      <c r="D146" s="20">
        <v>0</v>
      </c>
      <c r="E146" s="20">
        <v>0</v>
      </c>
      <c r="F146" s="20"/>
      <c r="G146" s="20"/>
      <c r="H146" s="20"/>
      <c r="I146" s="20"/>
      <c r="J146" s="20"/>
      <c r="K146" s="20"/>
      <c r="L146" s="20"/>
      <c r="M146" s="20"/>
      <c r="N146" s="20"/>
      <c r="O146" s="20"/>
      <c r="P146" s="20"/>
      <c r="Q146" s="20"/>
      <c r="R146" s="20"/>
      <c r="S146" s="20"/>
      <c r="T146" s="20"/>
      <c r="U146" s="20"/>
      <c r="V146" s="20"/>
      <c r="W146" s="20"/>
      <c r="X146" s="20"/>
      <c r="Y146" s="20"/>
      <c r="Z146" s="20"/>
      <c r="AA146" s="20"/>
      <c r="AB146" s="20" t="s">
        <v>1745</v>
      </c>
      <c r="AC146" s="20"/>
      <c r="AD146" s="272"/>
      <c r="AE146" s="238"/>
      <c r="AF146" s="225"/>
      <c r="AG146" s="225"/>
    </row>
    <row r="147" spans="1:53" ht="11.25" hidden="1" customHeight="1" x14ac:dyDescent="0.2">
      <c r="A147" s="21">
        <v>115</v>
      </c>
      <c r="B147" s="20">
        <v>4</v>
      </c>
      <c r="C147" s="20">
        <v>14</v>
      </c>
      <c r="D147" s="20">
        <v>0</v>
      </c>
      <c r="E147" s="20">
        <v>0</v>
      </c>
      <c r="F147" s="20"/>
      <c r="G147" s="20"/>
      <c r="H147" s="20"/>
      <c r="I147" s="20"/>
      <c r="J147" s="20"/>
      <c r="K147" s="20"/>
      <c r="L147" s="20"/>
      <c r="M147" s="20"/>
      <c r="N147" s="20"/>
      <c r="O147" s="20"/>
      <c r="P147" s="20"/>
      <c r="Q147" s="20"/>
      <c r="R147" s="20"/>
      <c r="S147" s="20"/>
      <c r="T147" s="20"/>
      <c r="U147" s="20"/>
      <c r="V147" s="20"/>
      <c r="W147" s="20"/>
      <c r="X147" s="20"/>
      <c r="Y147" s="20"/>
      <c r="Z147" s="20"/>
      <c r="AA147" s="20"/>
      <c r="AB147" s="20" t="s">
        <v>1745</v>
      </c>
      <c r="AC147" s="20"/>
      <c r="AD147" s="272"/>
      <c r="AE147" s="238"/>
      <c r="AF147" s="225"/>
      <c r="AG147" s="225"/>
    </row>
    <row r="148" spans="1:53" ht="11.25" hidden="1" customHeight="1" x14ac:dyDescent="0.2">
      <c r="A148" s="21">
        <v>116</v>
      </c>
      <c r="B148" s="20">
        <v>4</v>
      </c>
      <c r="C148" s="20">
        <v>15</v>
      </c>
      <c r="D148" s="20">
        <v>0</v>
      </c>
      <c r="E148" s="20">
        <v>0</v>
      </c>
      <c r="F148" s="20"/>
      <c r="G148" s="20"/>
      <c r="H148" s="20"/>
      <c r="I148" s="20"/>
      <c r="J148" s="20"/>
      <c r="K148" s="20"/>
      <c r="L148" s="20"/>
      <c r="M148" s="20"/>
      <c r="N148" s="20"/>
      <c r="O148" s="20"/>
      <c r="P148" s="20"/>
      <c r="Q148" s="20"/>
      <c r="R148" s="20"/>
      <c r="S148" s="20"/>
      <c r="T148" s="20"/>
      <c r="U148" s="20"/>
      <c r="V148" s="20"/>
      <c r="W148" s="20"/>
      <c r="X148" s="20"/>
      <c r="Y148" s="20"/>
      <c r="Z148" s="20"/>
      <c r="AA148" s="20"/>
      <c r="AB148" s="20" t="s">
        <v>1745</v>
      </c>
      <c r="AC148" s="20"/>
      <c r="AD148" s="272"/>
      <c r="AE148" s="238"/>
      <c r="AF148" s="225"/>
      <c r="AG148" s="225"/>
    </row>
    <row r="149" spans="1:53" ht="11.25" hidden="1" customHeight="1" x14ac:dyDescent="0.2">
      <c r="A149" s="21">
        <v>117</v>
      </c>
      <c r="B149" s="20">
        <v>4</v>
      </c>
      <c r="C149" s="20">
        <v>16</v>
      </c>
      <c r="D149" s="20">
        <v>0</v>
      </c>
      <c r="E149" s="20">
        <v>0</v>
      </c>
      <c r="F149" s="20"/>
      <c r="G149" s="20"/>
      <c r="H149" s="20"/>
      <c r="I149" s="20"/>
      <c r="J149" s="20"/>
      <c r="K149" s="20"/>
      <c r="L149" s="20"/>
      <c r="M149" s="20"/>
      <c r="N149" s="20"/>
      <c r="O149" s="20"/>
      <c r="P149" s="20"/>
      <c r="Q149" s="20"/>
      <c r="R149" s="20"/>
      <c r="S149" s="20"/>
      <c r="T149" s="20"/>
      <c r="U149" s="20"/>
      <c r="V149" s="20"/>
      <c r="W149" s="20"/>
      <c r="X149" s="20"/>
      <c r="Y149" s="20"/>
      <c r="Z149" s="20"/>
      <c r="AA149" s="20"/>
      <c r="AB149" s="20" t="s">
        <v>1745</v>
      </c>
      <c r="AC149" s="20"/>
      <c r="AD149" s="272"/>
      <c r="AE149" s="238"/>
      <c r="AF149" s="225"/>
      <c r="AG149" s="225"/>
    </row>
    <row r="150" spans="1:53" ht="11.25" hidden="1" customHeight="1" x14ac:dyDescent="0.2">
      <c r="A150" s="21">
        <v>118</v>
      </c>
      <c r="B150" s="20">
        <v>4</v>
      </c>
      <c r="C150" s="20">
        <v>17</v>
      </c>
      <c r="D150" s="20">
        <v>0</v>
      </c>
      <c r="E150" s="20">
        <v>0</v>
      </c>
      <c r="F150" s="20"/>
      <c r="G150" s="20"/>
      <c r="H150" s="20"/>
      <c r="I150" s="20"/>
      <c r="J150" s="20"/>
      <c r="K150" s="20"/>
      <c r="L150" s="20"/>
      <c r="M150" s="20"/>
      <c r="N150" s="20"/>
      <c r="O150" s="20"/>
      <c r="P150" s="20"/>
      <c r="Q150" s="20"/>
      <c r="R150" s="20"/>
      <c r="S150" s="20"/>
      <c r="T150" s="20"/>
      <c r="U150" s="20"/>
      <c r="V150" s="20"/>
      <c r="W150" s="20"/>
      <c r="X150" s="20"/>
      <c r="Y150" s="20"/>
      <c r="Z150" s="20"/>
      <c r="AA150" s="20"/>
      <c r="AB150" s="20" t="s">
        <v>1745</v>
      </c>
      <c r="AC150" s="20"/>
      <c r="AD150" s="272"/>
      <c r="AE150" s="238"/>
      <c r="AF150" s="225"/>
      <c r="AG150" s="225"/>
    </row>
    <row r="151" spans="1:53" ht="11.25" hidden="1" customHeight="1" x14ac:dyDescent="0.2">
      <c r="A151" s="21">
        <v>119</v>
      </c>
      <c r="B151" s="20">
        <v>4</v>
      </c>
      <c r="C151" s="20">
        <v>18</v>
      </c>
      <c r="D151" s="20">
        <v>0</v>
      </c>
      <c r="E151" s="20">
        <v>0</v>
      </c>
      <c r="F151" s="20"/>
      <c r="G151" s="20"/>
      <c r="H151" s="20"/>
      <c r="I151" s="20"/>
      <c r="J151" s="20"/>
      <c r="K151" s="20"/>
      <c r="L151" s="20"/>
      <c r="M151" s="20"/>
      <c r="N151" s="20"/>
      <c r="O151" s="20"/>
      <c r="P151" s="20"/>
      <c r="Q151" s="20"/>
      <c r="R151" s="20"/>
      <c r="S151" s="20"/>
      <c r="T151" s="20"/>
      <c r="U151" s="20"/>
      <c r="V151" s="20"/>
      <c r="W151" s="20"/>
      <c r="X151" s="20"/>
      <c r="Y151" s="20"/>
      <c r="Z151" s="20"/>
      <c r="AA151" s="20"/>
      <c r="AB151" s="20" t="s">
        <v>1745</v>
      </c>
      <c r="AC151" s="20"/>
      <c r="AD151" s="272"/>
      <c r="AE151" s="238"/>
      <c r="AF151" s="225"/>
      <c r="AG151" s="225"/>
    </row>
    <row r="152" spans="1:53" ht="11.25" hidden="1" customHeight="1" x14ac:dyDescent="0.2">
      <c r="A152" s="21">
        <v>120</v>
      </c>
      <c r="B152" s="20">
        <v>4</v>
      </c>
      <c r="C152" s="20">
        <v>19</v>
      </c>
      <c r="D152" s="20">
        <v>0</v>
      </c>
      <c r="E152" s="20">
        <v>0</v>
      </c>
      <c r="F152" s="20"/>
      <c r="G152" s="20"/>
      <c r="H152" s="20"/>
      <c r="I152" s="20"/>
      <c r="J152" s="20"/>
      <c r="K152" s="20"/>
      <c r="L152" s="20"/>
      <c r="M152" s="20"/>
      <c r="N152" s="20"/>
      <c r="O152" s="20"/>
      <c r="P152" s="20"/>
      <c r="Q152" s="20"/>
      <c r="R152" s="20"/>
      <c r="S152" s="20"/>
      <c r="T152" s="20"/>
      <c r="U152" s="20"/>
      <c r="V152" s="20"/>
      <c r="W152" s="20"/>
      <c r="X152" s="20"/>
      <c r="Y152" s="20"/>
      <c r="Z152" s="20"/>
      <c r="AA152" s="20"/>
      <c r="AB152" s="20" t="s">
        <v>1745</v>
      </c>
      <c r="AC152" s="20"/>
      <c r="AD152" s="272"/>
      <c r="AE152" s="238"/>
      <c r="AF152" s="225"/>
      <c r="AG152" s="225"/>
    </row>
    <row r="153" spans="1:53" ht="11.25" hidden="1" customHeight="1" x14ac:dyDescent="0.2">
      <c r="A153" s="21">
        <v>121</v>
      </c>
      <c r="B153" s="20">
        <v>4</v>
      </c>
      <c r="C153" s="20">
        <v>20</v>
      </c>
      <c r="D153" s="20">
        <v>0</v>
      </c>
      <c r="E153" s="20">
        <v>0</v>
      </c>
      <c r="F153" s="20"/>
      <c r="G153" s="20"/>
      <c r="H153" s="20"/>
      <c r="I153" s="20"/>
      <c r="J153" s="20"/>
      <c r="K153" s="20"/>
      <c r="L153" s="20"/>
      <c r="M153" s="20"/>
      <c r="N153" s="20"/>
      <c r="O153" s="20"/>
      <c r="P153" s="20"/>
      <c r="Q153" s="20"/>
      <c r="R153" s="20"/>
      <c r="S153" s="20"/>
      <c r="T153" s="20"/>
      <c r="U153" s="20"/>
      <c r="V153" s="20"/>
      <c r="W153" s="20"/>
      <c r="X153" s="20"/>
      <c r="Y153" s="20"/>
      <c r="Z153" s="20"/>
      <c r="AA153" s="20"/>
      <c r="AB153" s="20" t="s">
        <v>1745</v>
      </c>
      <c r="AC153" s="20"/>
      <c r="AD153" s="272"/>
      <c r="AE153" s="238"/>
      <c r="AF153" s="225"/>
      <c r="AG153" s="225"/>
    </row>
    <row r="154" spans="1:53" ht="11.25" hidden="1" customHeight="1" x14ac:dyDescent="0.2">
      <c r="A154" s="21">
        <v>122</v>
      </c>
      <c r="B154" s="20">
        <v>4</v>
      </c>
      <c r="C154" s="20">
        <v>21</v>
      </c>
      <c r="D154" s="20">
        <v>0</v>
      </c>
      <c r="E154" s="20">
        <v>0</v>
      </c>
      <c r="F154" s="20"/>
      <c r="G154" s="20"/>
      <c r="H154" s="20"/>
      <c r="I154" s="20"/>
      <c r="J154" s="20"/>
      <c r="K154" s="20"/>
      <c r="L154" s="20"/>
      <c r="M154" s="20"/>
      <c r="N154" s="20"/>
      <c r="O154" s="20"/>
      <c r="P154" s="20"/>
      <c r="Q154" s="20"/>
      <c r="R154" s="20"/>
      <c r="S154" s="20"/>
      <c r="T154" s="20"/>
      <c r="U154" s="20"/>
      <c r="V154" s="20"/>
      <c r="W154" s="20"/>
      <c r="X154" s="20"/>
      <c r="Y154" s="20"/>
      <c r="Z154" s="20"/>
      <c r="AA154" s="20"/>
      <c r="AB154" s="20" t="s">
        <v>1745</v>
      </c>
      <c r="AC154" s="20"/>
      <c r="AD154" s="272"/>
      <c r="AE154" s="238"/>
      <c r="AF154" s="225"/>
      <c r="AG154" s="225"/>
    </row>
    <row r="155" spans="1:53" ht="11.25" hidden="1" customHeight="1" x14ac:dyDescent="0.2">
      <c r="A155" s="21">
        <v>123</v>
      </c>
      <c r="B155" s="20">
        <v>4</v>
      </c>
      <c r="C155" s="20">
        <v>22</v>
      </c>
      <c r="D155" s="20">
        <v>0</v>
      </c>
      <c r="E155" s="20">
        <v>0</v>
      </c>
      <c r="F155" s="20"/>
      <c r="G155" s="20"/>
      <c r="H155" s="20"/>
      <c r="I155" s="20"/>
      <c r="J155" s="20"/>
      <c r="K155" s="20"/>
      <c r="L155" s="20"/>
      <c r="M155" s="20"/>
      <c r="N155" s="20"/>
      <c r="O155" s="20"/>
      <c r="P155" s="20"/>
      <c r="Q155" s="20"/>
      <c r="R155" s="20"/>
      <c r="S155" s="20"/>
      <c r="T155" s="20"/>
      <c r="U155" s="20"/>
      <c r="V155" s="20"/>
      <c r="W155" s="20"/>
      <c r="X155" s="20"/>
      <c r="Y155" s="20"/>
      <c r="Z155" s="20"/>
      <c r="AA155" s="20"/>
      <c r="AB155" s="20" t="s">
        <v>1745</v>
      </c>
      <c r="AC155" s="20"/>
      <c r="AD155" s="272"/>
      <c r="AE155" s="238"/>
      <c r="AF155" s="225"/>
      <c r="AG155" s="225"/>
    </row>
    <row r="156" spans="1:53" ht="11.25" hidden="1" customHeight="1" x14ac:dyDescent="0.2">
      <c r="A156" s="21">
        <v>124</v>
      </c>
      <c r="B156" s="20">
        <v>4</v>
      </c>
      <c r="C156" s="20">
        <v>23</v>
      </c>
      <c r="D156" s="20">
        <v>0</v>
      </c>
      <c r="E156" s="20">
        <v>0</v>
      </c>
      <c r="F156" s="20"/>
      <c r="G156" s="20"/>
      <c r="H156" s="20"/>
      <c r="I156" s="20"/>
      <c r="J156" s="20"/>
      <c r="K156" s="20"/>
      <c r="L156" s="20"/>
      <c r="M156" s="20"/>
      <c r="N156" s="20"/>
      <c r="O156" s="20"/>
      <c r="P156" s="20"/>
      <c r="Q156" s="20"/>
      <c r="R156" s="20"/>
      <c r="S156" s="20"/>
      <c r="T156" s="20"/>
      <c r="U156" s="20"/>
      <c r="V156" s="20"/>
      <c r="W156" s="20"/>
      <c r="X156" s="20"/>
      <c r="Y156" s="20"/>
      <c r="Z156" s="20"/>
      <c r="AA156" s="20"/>
      <c r="AB156" s="20" t="s">
        <v>1745</v>
      </c>
      <c r="AC156" s="20"/>
      <c r="AD156" s="272"/>
      <c r="AE156" s="238"/>
      <c r="AF156" s="225"/>
      <c r="AG156" s="225"/>
    </row>
    <row r="157" spans="1:53" ht="11.25" hidden="1" customHeight="1" x14ac:dyDescent="0.2">
      <c r="A157" s="21">
        <v>125</v>
      </c>
      <c r="B157" s="20">
        <v>4</v>
      </c>
      <c r="C157" s="20">
        <v>24</v>
      </c>
      <c r="D157" s="20">
        <v>0</v>
      </c>
      <c r="E157" s="20">
        <v>0</v>
      </c>
      <c r="F157" s="20"/>
      <c r="G157" s="20"/>
      <c r="H157" s="20"/>
      <c r="I157" s="20"/>
      <c r="J157" s="20"/>
      <c r="K157" s="20"/>
      <c r="L157" s="20"/>
      <c r="M157" s="20"/>
      <c r="N157" s="20"/>
      <c r="O157" s="20"/>
      <c r="P157" s="20"/>
      <c r="Q157" s="20"/>
      <c r="R157" s="20"/>
      <c r="S157" s="20"/>
      <c r="T157" s="20"/>
      <c r="U157" s="20"/>
      <c r="V157" s="20"/>
      <c r="W157" s="20"/>
      <c r="X157" s="20"/>
      <c r="Y157" s="20"/>
      <c r="Z157" s="20"/>
      <c r="AA157" s="20"/>
      <c r="AB157" s="20" t="s">
        <v>1745</v>
      </c>
      <c r="AC157" s="20"/>
      <c r="AD157" s="272"/>
      <c r="AE157" s="238"/>
      <c r="AF157" s="225"/>
      <c r="AG157" s="225"/>
    </row>
    <row r="158" spans="1:53" ht="11.25" hidden="1" customHeight="1" thickBot="1" x14ac:dyDescent="0.25">
      <c r="A158" s="21">
        <v>126</v>
      </c>
      <c r="B158" s="20">
        <v>4</v>
      </c>
      <c r="C158" s="20">
        <v>25</v>
      </c>
      <c r="D158" s="20">
        <v>0</v>
      </c>
      <c r="E158" s="20">
        <v>0</v>
      </c>
      <c r="F158" s="20"/>
      <c r="G158" s="20"/>
      <c r="H158" s="20"/>
      <c r="I158" s="20"/>
      <c r="J158" s="20"/>
      <c r="K158" s="20"/>
      <c r="L158" s="20"/>
      <c r="M158" s="20"/>
      <c r="N158" s="20"/>
      <c r="O158" s="20"/>
      <c r="P158" s="20"/>
      <c r="Q158" s="20"/>
      <c r="R158" s="20"/>
      <c r="S158" s="20"/>
      <c r="T158" s="20"/>
      <c r="U158" s="20"/>
      <c r="V158" s="20"/>
      <c r="W158" s="20"/>
      <c r="X158" s="20"/>
      <c r="Y158" s="20"/>
      <c r="Z158" s="20"/>
      <c r="AA158" s="20"/>
      <c r="AB158" s="20" t="s">
        <v>1745</v>
      </c>
      <c r="AC158" s="20"/>
      <c r="AD158" s="272"/>
      <c r="AE158" s="238"/>
      <c r="AF158" s="231"/>
      <c r="AG158" s="231"/>
    </row>
    <row r="159" spans="1:53" ht="11.25" customHeight="1" x14ac:dyDescent="0.2">
      <c r="A159" s="21">
        <v>127</v>
      </c>
      <c r="B159" s="18">
        <v>5</v>
      </c>
      <c r="C159" s="18">
        <v>1</v>
      </c>
      <c r="D159" s="18">
        <v>-1</v>
      </c>
      <c r="E159" s="18">
        <v>-1</v>
      </c>
      <c r="F159" s="18" t="s">
        <v>317</v>
      </c>
      <c r="G159" s="18"/>
      <c r="H159" s="18"/>
      <c r="I159" s="18"/>
      <c r="J159" s="18" t="s">
        <v>100</v>
      </c>
      <c r="K159" s="18" t="s">
        <v>94</v>
      </c>
      <c r="L159" s="18" t="s">
        <v>100</v>
      </c>
      <c r="M159" s="18" t="s">
        <v>207</v>
      </c>
      <c r="N159" s="18"/>
      <c r="O159" s="18"/>
      <c r="P159" s="18"/>
      <c r="Q159" s="18"/>
      <c r="R159" s="18"/>
      <c r="S159" s="18"/>
      <c r="T159" s="18"/>
      <c r="U159" s="18"/>
      <c r="V159" s="18"/>
      <c r="W159" s="18"/>
      <c r="X159" s="18" t="s">
        <v>101</v>
      </c>
      <c r="Y159" s="18" t="s">
        <v>319</v>
      </c>
      <c r="Z159" s="18" t="s">
        <v>319</v>
      </c>
      <c r="AA159" s="18" t="s">
        <v>317</v>
      </c>
      <c r="AB159" s="18" t="s">
        <v>347</v>
      </c>
      <c r="AC159" s="18"/>
      <c r="AD159" s="272"/>
      <c r="AE159" s="240" t="str">
        <f>Admin!$D$7</f>
        <v>CNTRL</v>
      </c>
      <c r="AF159" s="225" t="s">
        <v>49</v>
      </c>
      <c r="AG159" s="225"/>
      <c r="AI159" s="160"/>
      <c r="AJ159" s="160"/>
      <c r="AK159" s="160"/>
      <c r="AL159" s="160"/>
      <c r="AM159" s="160"/>
      <c r="AN159" s="160"/>
      <c r="AO159" s="160"/>
      <c r="AP159" s="159" t="s">
        <v>57</v>
      </c>
      <c r="AQ159" s="159" t="s">
        <v>57</v>
      </c>
      <c r="AR159" s="159" t="s">
        <v>57</v>
      </c>
      <c r="AS159" s="159" t="s">
        <v>57</v>
      </c>
      <c r="AT159" s="159" t="s">
        <v>57</v>
      </c>
      <c r="AU159" s="159" t="s">
        <v>57</v>
      </c>
      <c r="AV159" s="159" t="s">
        <v>57</v>
      </c>
      <c r="AW159" s="160"/>
      <c r="AX159" s="160"/>
      <c r="AY159" s="160"/>
      <c r="AZ159" s="160"/>
      <c r="BA159" s="160"/>
    </row>
    <row r="160" spans="1:53" ht="11.25" customHeight="1" x14ac:dyDescent="0.2">
      <c r="A160" s="21">
        <v>128</v>
      </c>
      <c r="B160" s="18">
        <v>5</v>
      </c>
      <c r="C160" s="18">
        <v>2</v>
      </c>
      <c r="D160" s="18">
        <v>0</v>
      </c>
      <c r="E160" s="18">
        <v>-1</v>
      </c>
      <c r="F160" s="18"/>
      <c r="G160" s="18"/>
      <c r="H160" s="18"/>
      <c r="I160" s="18"/>
      <c r="J160" s="18" t="s">
        <v>100</v>
      </c>
      <c r="K160" s="18" t="s">
        <v>94</v>
      </c>
      <c r="L160" s="18"/>
      <c r="M160" s="18"/>
      <c r="N160" s="18"/>
      <c r="O160" s="18"/>
      <c r="P160" s="18"/>
      <c r="Q160" s="18"/>
      <c r="R160" s="18"/>
      <c r="S160" s="18"/>
      <c r="T160" s="18"/>
      <c r="U160" s="18"/>
      <c r="V160" s="18"/>
      <c r="W160" s="18"/>
      <c r="X160" s="18"/>
      <c r="Y160" s="18"/>
      <c r="Z160" s="18"/>
      <c r="AA160" s="18"/>
      <c r="AB160" s="18" t="s">
        <v>347</v>
      </c>
      <c r="AC160" s="18"/>
      <c r="AD160" s="272"/>
      <c r="AE160" s="240"/>
      <c r="AF160" s="225" t="s">
        <v>498</v>
      </c>
      <c r="AG160" s="225"/>
      <c r="AI160" s="160"/>
      <c r="AJ160" s="160"/>
      <c r="AK160" s="160"/>
      <c r="AL160" s="160"/>
      <c r="AM160" s="160"/>
      <c r="AN160" s="160"/>
      <c r="AO160" s="160"/>
      <c r="AP160" s="159" t="s">
        <v>57</v>
      </c>
      <c r="AQ160" s="159" t="s">
        <v>57</v>
      </c>
      <c r="AR160" s="159" t="s">
        <v>57</v>
      </c>
      <c r="AS160" s="159" t="s">
        <v>57</v>
      </c>
      <c r="AT160" s="159" t="s">
        <v>57</v>
      </c>
      <c r="AU160" s="159" t="s">
        <v>57</v>
      </c>
      <c r="AV160" s="159" t="s">
        <v>57</v>
      </c>
      <c r="AW160" s="160"/>
      <c r="AX160" s="160"/>
      <c r="AY160" s="160"/>
      <c r="AZ160" s="160"/>
      <c r="BA160" s="160"/>
    </row>
    <row r="161" spans="1:53" ht="11.25" customHeight="1" x14ac:dyDescent="0.2">
      <c r="A161" s="21">
        <v>129</v>
      </c>
      <c r="B161" s="18">
        <v>5</v>
      </c>
      <c r="C161" s="18">
        <v>3</v>
      </c>
      <c r="D161" s="18">
        <v>-1</v>
      </c>
      <c r="E161" s="18">
        <v>-1</v>
      </c>
      <c r="F161" s="18" t="s">
        <v>318</v>
      </c>
      <c r="G161" s="18"/>
      <c r="H161" s="18"/>
      <c r="I161" s="18"/>
      <c r="J161" s="18" t="s">
        <v>100</v>
      </c>
      <c r="K161" s="18" t="s">
        <v>94</v>
      </c>
      <c r="L161" s="18" t="s">
        <v>100</v>
      </c>
      <c r="M161" s="18" t="s">
        <v>207</v>
      </c>
      <c r="N161" s="18"/>
      <c r="O161" s="18" t="s">
        <v>738</v>
      </c>
      <c r="P161" s="18"/>
      <c r="Q161" s="18"/>
      <c r="R161" s="18"/>
      <c r="S161" s="18"/>
      <c r="T161" s="18"/>
      <c r="U161" s="18"/>
      <c r="V161" s="18"/>
      <c r="W161" s="18"/>
      <c r="X161" s="18" t="s">
        <v>101</v>
      </c>
      <c r="Y161" s="18" t="s">
        <v>319</v>
      </c>
      <c r="Z161" s="18" t="s">
        <v>319</v>
      </c>
      <c r="AA161" s="18" t="s">
        <v>318</v>
      </c>
      <c r="AB161" s="18" t="s">
        <v>344</v>
      </c>
      <c r="AC161" s="18"/>
      <c r="AD161" s="272"/>
      <c r="AE161" s="240"/>
      <c r="AF161" s="225" t="s">
        <v>190</v>
      </c>
      <c r="AG161" s="225"/>
      <c r="AI161" s="159" t="s">
        <v>57</v>
      </c>
      <c r="AJ161" s="159" t="s">
        <v>57</v>
      </c>
      <c r="AK161" s="159" t="s">
        <v>57</v>
      </c>
      <c r="AL161" s="160"/>
      <c r="AM161" s="160"/>
      <c r="AN161" s="160"/>
      <c r="AO161" s="159" t="s">
        <v>57</v>
      </c>
      <c r="AP161" s="159" t="s">
        <v>57</v>
      </c>
      <c r="AQ161" s="159" t="s">
        <v>57</v>
      </c>
      <c r="AR161" s="159" t="s">
        <v>57</v>
      </c>
      <c r="AS161" s="159" t="s">
        <v>57</v>
      </c>
      <c r="AT161" s="159" t="s">
        <v>57</v>
      </c>
      <c r="AU161" s="159" t="s">
        <v>57</v>
      </c>
      <c r="AV161" s="159" t="s">
        <v>57</v>
      </c>
      <c r="AW161" s="159" t="s">
        <v>57</v>
      </c>
      <c r="AX161" s="159" t="s">
        <v>57</v>
      </c>
      <c r="AY161" s="160"/>
      <c r="AZ161" s="160"/>
      <c r="BA161" s="159" t="s">
        <v>57</v>
      </c>
    </row>
    <row r="162" spans="1:53" ht="11.25" customHeight="1" x14ac:dyDescent="0.2">
      <c r="A162" s="21">
        <v>130</v>
      </c>
      <c r="B162" s="18">
        <v>5</v>
      </c>
      <c r="C162" s="18">
        <v>4</v>
      </c>
      <c r="D162" s="18">
        <v>-1</v>
      </c>
      <c r="E162" s="18">
        <v>-1</v>
      </c>
      <c r="F162" s="18" t="s">
        <v>491</v>
      </c>
      <c r="G162" s="18"/>
      <c r="H162" s="18"/>
      <c r="I162" s="18"/>
      <c r="J162" s="18" t="s">
        <v>100</v>
      </c>
      <c r="K162" s="18" t="s">
        <v>94</v>
      </c>
      <c r="L162" s="18" t="s">
        <v>100</v>
      </c>
      <c r="M162" s="18" t="s">
        <v>207</v>
      </c>
      <c r="N162" s="18"/>
      <c r="O162" s="18" t="s">
        <v>742</v>
      </c>
      <c r="P162" s="18"/>
      <c r="Q162" s="18"/>
      <c r="R162" s="18"/>
      <c r="S162" s="18"/>
      <c r="T162" s="18"/>
      <c r="U162" s="18"/>
      <c r="V162" s="18"/>
      <c r="W162" s="18"/>
      <c r="X162" s="18" t="s">
        <v>101</v>
      </c>
      <c r="Y162" s="18" t="s">
        <v>319</v>
      </c>
      <c r="Z162" s="18" t="s">
        <v>319</v>
      </c>
      <c r="AA162" s="18" t="s">
        <v>491</v>
      </c>
      <c r="AB162" s="18" t="s">
        <v>345</v>
      </c>
      <c r="AC162" s="18"/>
      <c r="AD162" s="272"/>
      <c r="AE162" s="240"/>
      <c r="AF162" s="241" t="s">
        <v>51</v>
      </c>
      <c r="AG162" s="242"/>
      <c r="AI162" s="160"/>
      <c r="AJ162" s="160"/>
      <c r="AK162" s="160"/>
      <c r="AL162" s="159" t="s">
        <v>57</v>
      </c>
      <c r="AM162" s="159" t="s">
        <v>57</v>
      </c>
      <c r="AN162" s="159" t="s">
        <v>57</v>
      </c>
      <c r="AO162" s="159" t="s">
        <v>57</v>
      </c>
      <c r="AP162" s="159" t="s">
        <v>57</v>
      </c>
      <c r="AQ162" s="159" t="s">
        <v>57</v>
      </c>
      <c r="AR162" s="159" t="s">
        <v>57</v>
      </c>
      <c r="AS162" s="159" t="s">
        <v>57</v>
      </c>
      <c r="AT162" s="159" t="s">
        <v>57</v>
      </c>
      <c r="AU162" s="159" t="s">
        <v>57</v>
      </c>
      <c r="AV162" s="159" t="s">
        <v>57</v>
      </c>
      <c r="AW162" s="160"/>
      <c r="AX162" s="160"/>
      <c r="AY162" s="159" t="s">
        <v>57</v>
      </c>
      <c r="AZ162" s="159" t="s">
        <v>57</v>
      </c>
      <c r="BA162" s="159" t="s">
        <v>57</v>
      </c>
    </row>
    <row r="163" spans="1:53" ht="11.25" customHeight="1" x14ac:dyDescent="0.2">
      <c r="A163" s="21">
        <v>131</v>
      </c>
      <c r="B163" s="18">
        <v>5</v>
      </c>
      <c r="C163" s="18">
        <v>5</v>
      </c>
      <c r="D163" s="18">
        <v>-1</v>
      </c>
      <c r="E163" s="18">
        <v>-1</v>
      </c>
      <c r="F163" s="18" t="s">
        <v>492</v>
      </c>
      <c r="G163" s="18"/>
      <c r="H163" s="18"/>
      <c r="I163" s="18"/>
      <c r="J163" s="18" t="s">
        <v>100</v>
      </c>
      <c r="K163" s="18" t="s">
        <v>94</v>
      </c>
      <c r="L163" s="18" t="s">
        <v>100</v>
      </c>
      <c r="M163" s="18" t="s">
        <v>207</v>
      </c>
      <c r="N163" s="18"/>
      <c r="O163" s="18" t="s">
        <v>739</v>
      </c>
      <c r="P163" s="18"/>
      <c r="Q163" s="18"/>
      <c r="R163" s="18"/>
      <c r="S163" s="18"/>
      <c r="T163" s="18"/>
      <c r="U163" s="18"/>
      <c r="V163" s="18"/>
      <c r="W163" s="18"/>
      <c r="X163" s="18" t="s">
        <v>101</v>
      </c>
      <c r="Y163" s="18" t="s">
        <v>319</v>
      </c>
      <c r="Z163" s="18" t="s">
        <v>319</v>
      </c>
      <c r="AA163" s="18" t="s">
        <v>492</v>
      </c>
      <c r="AB163" s="18" t="s">
        <v>346</v>
      </c>
      <c r="AC163" s="18"/>
      <c r="AD163" s="272"/>
      <c r="AE163" s="240"/>
      <c r="AF163" s="241" t="s">
        <v>500</v>
      </c>
      <c r="AG163" s="242"/>
      <c r="AI163" s="159" t="s">
        <v>57</v>
      </c>
      <c r="AJ163" s="159" t="s">
        <v>57</v>
      </c>
      <c r="AK163" s="159" t="s">
        <v>57</v>
      </c>
      <c r="AL163" s="159" t="s">
        <v>57</v>
      </c>
      <c r="AM163" s="159" t="s">
        <v>57</v>
      </c>
      <c r="AN163" s="159" t="s">
        <v>57</v>
      </c>
      <c r="AO163" s="160"/>
      <c r="AP163" s="159" t="s">
        <v>57</v>
      </c>
      <c r="AQ163" s="159" t="s">
        <v>57</v>
      </c>
      <c r="AR163" s="159" t="s">
        <v>57</v>
      </c>
      <c r="AS163" s="159" t="s">
        <v>57</v>
      </c>
      <c r="AT163" s="159" t="s">
        <v>57</v>
      </c>
      <c r="AU163" s="159" t="s">
        <v>57</v>
      </c>
      <c r="AV163" s="159" t="s">
        <v>57</v>
      </c>
      <c r="AW163" s="159" t="s">
        <v>57</v>
      </c>
      <c r="AX163" s="159" t="s">
        <v>57</v>
      </c>
      <c r="AY163" s="159" t="s">
        <v>57</v>
      </c>
      <c r="AZ163" s="159" t="s">
        <v>57</v>
      </c>
      <c r="BA163" s="160"/>
    </row>
    <row r="164" spans="1:53" ht="11.25" customHeight="1" x14ac:dyDescent="0.2">
      <c r="A164" s="21">
        <v>132</v>
      </c>
      <c r="B164" s="18">
        <v>5</v>
      </c>
      <c r="C164" s="18">
        <v>6</v>
      </c>
      <c r="D164" s="18">
        <v>-1</v>
      </c>
      <c r="E164" s="18">
        <v>-1</v>
      </c>
      <c r="F164" s="18" t="s">
        <v>493</v>
      </c>
      <c r="G164" s="18"/>
      <c r="H164" s="18"/>
      <c r="I164" s="18"/>
      <c r="J164" s="18" t="s">
        <v>100</v>
      </c>
      <c r="K164" s="18" t="s">
        <v>94</v>
      </c>
      <c r="L164" s="18" t="s">
        <v>100</v>
      </c>
      <c r="M164" s="18" t="s">
        <v>207</v>
      </c>
      <c r="N164" s="18"/>
      <c r="O164" s="18" t="s">
        <v>2849</v>
      </c>
      <c r="P164" s="18"/>
      <c r="Q164" s="18"/>
      <c r="R164" s="18"/>
      <c r="S164" s="18"/>
      <c r="T164" s="18"/>
      <c r="U164" s="18"/>
      <c r="V164" s="18"/>
      <c r="W164" s="18"/>
      <c r="X164" s="18" t="s">
        <v>101</v>
      </c>
      <c r="Y164" s="18" t="s">
        <v>319</v>
      </c>
      <c r="Z164" s="18" t="s">
        <v>319</v>
      </c>
      <c r="AA164" s="18" t="s">
        <v>493</v>
      </c>
      <c r="AB164" s="18" t="s">
        <v>346</v>
      </c>
      <c r="AC164" s="18"/>
      <c r="AD164" s="272"/>
      <c r="AE164" s="240"/>
      <c r="AF164" s="241" t="s">
        <v>192</v>
      </c>
      <c r="AG164" s="242"/>
      <c r="AI164" s="159" t="s">
        <v>57</v>
      </c>
      <c r="AJ164" s="159" t="s">
        <v>57</v>
      </c>
      <c r="AK164" s="159" t="s">
        <v>57</v>
      </c>
      <c r="AL164" s="159" t="s">
        <v>57</v>
      </c>
      <c r="AM164" s="159" t="s">
        <v>57</v>
      </c>
      <c r="AN164" s="159" t="s">
        <v>57</v>
      </c>
      <c r="AO164" s="160"/>
      <c r="AP164" s="159" t="s">
        <v>57</v>
      </c>
      <c r="AQ164" s="159" t="s">
        <v>57</v>
      </c>
      <c r="AR164" s="159" t="s">
        <v>57</v>
      </c>
      <c r="AS164" s="159" t="s">
        <v>57</v>
      </c>
      <c r="AT164" s="159" t="s">
        <v>57</v>
      </c>
      <c r="AU164" s="159" t="s">
        <v>57</v>
      </c>
      <c r="AV164" s="159" t="s">
        <v>57</v>
      </c>
      <c r="AW164" s="159" t="s">
        <v>57</v>
      </c>
      <c r="AX164" s="159" t="s">
        <v>57</v>
      </c>
      <c r="AY164" s="159" t="s">
        <v>57</v>
      </c>
      <c r="AZ164" s="159" t="s">
        <v>57</v>
      </c>
      <c r="BA164" s="160"/>
    </row>
    <row r="165" spans="1:53" ht="11.25" customHeight="1" x14ac:dyDescent="0.2">
      <c r="A165" s="21">
        <v>133</v>
      </c>
      <c r="B165" s="18">
        <v>5</v>
      </c>
      <c r="C165" s="18">
        <v>7</v>
      </c>
      <c r="D165" s="18">
        <v>-1</v>
      </c>
      <c r="E165" s="18">
        <v>-1</v>
      </c>
      <c r="F165" s="18" t="s">
        <v>10</v>
      </c>
      <c r="G165" s="18"/>
      <c r="H165" s="18"/>
      <c r="I165" s="18"/>
      <c r="J165" s="18"/>
      <c r="K165" s="18" t="s">
        <v>97</v>
      </c>
      <c r="L165" s="18" t="s">
        <v>254</v>
      </c>
      <c r="M165" s="18" t="s">
        <v>207</v>
      </c>
      <c r="N165" s="18"/>
      <c r="O165" s="18" t="s">
        <v>518</v>
      </c>
      <c r="P165" s="18"/>
      <c r="Q165" s="18"/>
      <c r="R165" s="18"/>
      <c r="S165" s="18"/>
      <c r="T165" s="18"/>
      <c r="U165" s="18"/>
      <c r="V165" s="18"/>
      <c r="W165" s="18"/>
      <c r="X165" s="18"/>
      <c r="Y165" s="18"/>
      <c r="Z165" s="18"/>
      <c r="AA165" s="18"/>
      <c r="AB165" s="18" t="s">
        <v>347</v>
      </c>
      <c r="AC165" s="18"/>
      <c r="AD165" s="272"/>
      <c r="AE165" s="240"/>
      <c r="AF165" s="146" t="s">
        <v>528</v>
      </c>
      <c r="AG165" s="146"/>
      <c r="AI165" s="212"/>
      <c r="AJ165" s="212"/>
      <c r="AK165" s="212"/>
      <c r="AL165" s="212"/>
      <c r="AM165" s="212"/>
      <c r="AN165" s="212"/>
      <c r="AO165" s="212"/>
      <c r="AP165" s="159" t="s">
        <v>57</v>
      </c>
      <c r="AQ165" s="159" t="s">
        <v>57</v>
      </c>
      <c r="AR165" s="159" t="s">
        <v>57</v>
      </c>
      <c r="AS165" s="159" t="s">
        <v>57</v>
      </c>
      <c r="AT165" s="159" t="s">
        <v>57</v>
      </c>
      <c r="AU165" s="159" t="s">
        <v>57</v>
      </c>
      <c r="AV165" s="159" t="s">
        <v>57</v>
      </c>
      <c r="AW165" s="212"/>
      <c r="AX165" s="212"/>
      <c r="AY165" s="212"/>
      <c r="AZ165" s="212"/>
      <c r="BA165" s="212"/>
    </row>
    <row r="166" spans="1:53" ht="11.25" customHeight="1" x14ac:dyDescent="0.2">
      <c r="A166" s="21">
        <v>134</v>
      </c>
      <c r="B166" s="18">
        <v>5</v>
      </c>
      <c r="C166" s="18">
        <v>8</v>
      </c>
      <c r="D166" s="18">
        <v>0</v>
      </c>
      <c r="E166" s="18">
        <v>-1</v>
      </c>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272"/>
      <c r="AE166" s="240"/>
      <c r="AF166" s="225"/>
      <c r="AG166" s="225"/>
      <c r="AI166" s="159" t="s">
        <v>57</v>
      </c>
      <c r="AJ166" s="159" t="s">
        <v>57</v>
      </c>
      <c r="AK166" s="159" t="s">
        <v>57</v>
      </c>
      <c r="AL166" s="159" t="s">
        <v>57</v>
      </c>
      <c r="AM166" s="159" t="s">
        <v>57</v>
      </c>
      <c r="AN166" s="159" t="s">
        <v>57</v>
      </c>
      <c r="AO166" s="159" t="s">
        <v>57</v>
      </c>
      <c r="AP166" s="159" t="s">
        <v>57</v>
      </c>
      <c r="AQ166" s="159" t="s">
        <v>57</v>
      </c>
      <c r="AR166" s="159" t="s">
        <v>57</v>
      </c>
      <c r="AS166" s="159" t="s">
        <v>57</v>
      </c>
      <c r="AT166" s="159" t="s">
        <v>57</v>
      </c>
      <c r="AU166" s="159" t="s">
        <v>57</v>
      </c>
      <c r="AV166" s="159" t="s">
        <v>57</v>
      </c>
      <c r="AW166" s="159" t="s">
        <v>57</v>
      </c>
      <c r="AX166" s="159" t="s">
        <v>57</v>
      </c>
      <c r="AY166" s="159" t="s">
        <v>57</v>
      </c>
      <c r="AZ166" s="159" t="s">
        <v>57</v>
      </c>
      <c r="BA166" s="159" t="s">
        <v>57</v>
      </c>
    </row>
    <row r="167" spans="1:53" ht="11.25" hidden="1" customHeight="1" x14ac:dyDescent="0.2">
      <c r="A167" s="21">
        <v>135</v>
      </c>
      <c r="B167" s="18">
        <v>5</v>
      </c>
      <c r="C167" s="18">
        <v>9</v>
      </c>
      <c r="D167" s="18">
        <v>0</v>
      </c>
      <c r="E167" s="18">
        <v>0</v>
      </c>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272"/>
      <c r="AE167" s="240"/>
      <c r="AF167" s="225"/>
      <c r="AG167" s="225"/>
    </row>
    <row r="168" spans="1:53" ht="11.25" hidden="1" customHeight="1" x14ac:dyDescent="0.2">
      <c r="A168" s="21">
        <v>136</v>
      </c>
      <c r="B168" s="18">
        <v>5</v>
      </c>
      <c r="C168" s="18">
        <v>10</v>
      </c>
      <c r="D168" s="18">
        <v>0</v>
      </c>
      <c r="E168" s="18">
        <v>0</v>
      </c>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272"/>
      <c r="AE168" s="240"/>
      <c r="AF168" s="225"/>
      <c r="AG168" s="225"/>
    </row>
    <row r="169" spans="1:53" ht="11.25" hidden="1" customHeight="1" x14ac:dyDescent="0.2">
      <c r="A169" s="21">
        <v>137</v>
      </c>
      <c r="B169" s="18">
        <v>5</v>
      </c>
      <c r="C169" s="18">
        <v>11</v>
      </c>
      <c r="D169" s="18">
        <v>0</v>
      </c>
      <c r="E169" s="18">
        <v>0</v>
      </c>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272"/>
      <c r="AE169" s="240"/>
      <c r="AF169" s="225"/>
      <c r="AG169" s="225"/>
    </row>
    <row r="170" spans="1:53" ht="11.25" hidden="1" customHeight="1" x14ac:dyDescent="0.2">
      <c r="A170" s="21">
        <v>138</v>
      </c>
      <c r="B170" s="18">
        <v>5</v>
      </c>
      <c r="C170" s="18">
        <v>12</v>
      </c>
      <c r="D170" s="18">
        <v>0</v>
      </c>
      <c r="E170" s="18">
        <v>0</v>
      </c>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272"/>
      <c r="AE170" s="240"/>
      <c r="AF170" s="225"/>
      <c r="AG170" s="225"/>
    </row>
    <row r="171" spans="1:53" ht="11.25" hidden="1" customHeight="1" x14ac:dyDescent="0.2">
      <c r="A171" s="21">
        <v>139</v>
      </c>
      <c r="B171" s="18">
        <v>5</v>
      </c>
      <c r="C171" s="18">
        <v>13</v>
      </c>
      <c r="D171" s="18">
        <v>0</v>
      </c>
      <c r="E171" s="18">
        <v>0</v>
      </c>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272"/>
      <c r="AE171" s="240"/>
      <c r="AF171" s="225"/>
      <c r="AG171" s="225"/>
    </row>
    <row r="172" spans="1:53" ht="11.25" hidden="1" customHeight="1" x14ac:dyDescent="0.2">
      <c r="A172" s="21">
        <v>140</v>
      </c>
      <c r="B172" s="18">
        <v>5</v>
      </c>
      <c r="C172" s="18">
        <v>14</v>
      </c>
      <c r="D172" s="18">
        <v>0</v>
      </c>
      <c r="E172" s="18">
        <v>0</v>
      </c>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272"/>
      <c r="AE172" s="240"/>
      <c r="AF172" s="225"/>
      <c r="AG172" s="225"/>
    </row>
    <row r="173" spans="1:53" ht="11.25" hidden="1" customHeight="1" x14ac:dyDescent="0.2">
      <c r="A173" s="21">
        <v>141</v>
      </c>
      <c r="B173" s="18">
        <v>5</v>
      </c>
      <c r="C173" s="18">
        <v>15</v>
      </c>
      <c r="D173" s="18">
        <v>0</v>
      </c>
      <c r="E173" s="18">
        <v>0</v>
      </c>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272"/>
      <c r="AE173" s="240"/>
      <c r="AF173" s="225"/>
      <c r="AG173" s="225"/>
    </row>
    <row r="174" spans="1:53" ht="11.25" hidden="1" customHeight="1" x14ac:dyDescent="0.2">
      <c r="A174" s="21">
        <v>142</v>
      </c>
      <c r="B174" s="18">
        <v>5</v>
      </c>
      <c r="C174" s="18">
        <v>16</v>
      </c>
      <c r="D174" s="18">
        <v>0</v>
      </c>
      <c r="E174" s="18">
        <v>0</v>
      </c>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272"/>
      <c r="AE174" s="240"/>
      <c r="AF174" s="225"/>
      <c r="AG174" s="225"/>
    </row>
    <row r="175" spans="1:53" ht="11.25" hidden="1" customHeight="1" x14ac:dyDescent="0.2">
      <c r="A175" s="21">
        <v>143</v>
      </c>
      <c r="B175" s="18">
        <v>5</v>
      </c>
      <c r="C175" s="18">
        <v>17</v>
      </c>
      <c r="D175" s="18">
        <v>0</v>
      </c>
      <c r="E175" s="18">
        <v>0</v>
      </c>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272"/>
      <c r="AE175" s="240"/>
      <c r="AF175" s="225"/>
      <c r="AG175" s="225"/>
    </row>
    <row r="176" spans="1:53" ht="11.25" hidden="1" customHeight="1" x14ac:dyDescent="0.2">
      <c r="A176" s="21">
        <v>144</v>
      </c>
      <c r="B176" s="18">
        <v>5</v>
      </c>
      <c r="C176" s="18">
        <v>18</v>
      </c>
      <c r="D176" s="18">
        <v>0</v>
      </c>
      <c r="E176" s="18">
        <v>0</v>
      </c>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272"/>
      <c r="AE176" s="240"/>
      <c r="AF176" s="225"/>
      <c r="AG176" s="225"/>
    </row>
    <row r="177" spans="1:53" ht="11.25" hidden="1" customHeight="1" x14ac:dyDescent="0.2">
      <c r="A177" s="21">
        <v>145</v>
      </c>
      <c r="B177" s="18">
        <v>5</v>
      </c>
      <c r="C177" s="18">
        <v>19</v>
      </c>
      <c r="D177" s="18">
        <v>0</v>
      </c>
      <c r="E177" s="18">
        <v>0</v>
      </c>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272"/>
      <c r="AE177" s="240"/>
      <c r="AF177" s="225"/>
      <c r="AG177" s="225"/>
    </row>
    <row r="178" spans="1:53" ht="11.25" hidden="1" customHeight="1" x14ac:dyDescent="0.2">
      <c r="A178" s="21">
        <v>146</v>
      </c>
      <c r="B178" s="18">
        <v>5</v>
      </c>
      <c r="C178" s="18">
        <v>20</v>
      </c>
      <c r="D178" s="18">
        <v>0</v>
      </c>
      <c r="E178" s="18">
        <v>0</v>
      </c>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272"/>
      <c r="AE178" s="240"/>
      <c r="AF178" s="225"/>
      <c r="AG178" s="225"/>
    </row>
    <row r="179" spans="1:53" ht="11.25" hidden="1" customHeight="1" x14ac:dyDescent="0.2">
      <c r="A179" s="21">
        <v>147</v>
      </c>
      <c r="B179" s="18">
        <v>5</v>
      </c>
      <c r="C179" s="18">
        <v>21</v>
      </c>
      <c r="D179" s="18">
        <v>0</v>
      </c>
      <c r="E179" s="18">
        <v>0</v>
      </c>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272"/>
      <c r="AE179" s="240"/>
      <c r="AF179" s="225"/>
      <c r="AG179" s="225"/>
    </row>
    <row r="180" spans="1:53" ht="11.25" hidden="1" customHeight="1" x14ac:dyDescent="0.2">
      <c r="A180" s="21">
        <v>148</v>
      </c>
      <c r="B180" s="18">
        <v>5</v>
      </c>
      <c r="C180" s="18">
        <v>22</v>
      </c>
      <c r="D180" s="18">
        <v>0</v>
      </c>
      <c r="E180" s="18">
        <v>0</v>
      </c>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272"/>
      <c r="AE180" s="240"/>
      <c r="AF180" s="225"/>
      <c r="AG180" s="225"/>
    </row>
    <row r="181" spans="1:53" ht="11.25" hidden="1" customHeight="1" x14ac:dyDescent="0.2">
      <c r="A181" s="21">
        <v>149</v>
      </c>
      <c r="B181" s="18">
        <v>5</v>
      </c>
      <c r="C181" s="18">
        <v>23</v>
      </c>
      <c r="D181" s="18">
        <v>0</v>
      </c>
      <c r="E181" s="18">
        <v>0</v>
      </c>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272"/>
      <c r="AE181" s="240"/>
      <c r="AF181" s="225"/>
      <c r="AG181" s="225"/>
    </row>
    <row r="182" spans="1:53" ht="11.25" hidden="1" customHeight="1" x14ac:dyDescent="0.2">
      <c r="A182" s="21">
        <v>150</v>
      </c>
      <c r="B182" s="18">
        <v>5</v>
      </c>
      <c r="C182" s="18">
        <v>24</v>
      </c>
      <c r="D182" s="18">
        <v>0</v>
      </c>
      <c r="E182" s="18">
        <v>0</v>
      </c>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272"/>
      <c r="AE182" s="240"/>
      <c r="AF182" s="225"/>
      <c r="AG182" s="225"/>
    </row>
    <row r="183" spans="1:53" ht="11.25" hidden="1" customHeight="1" thickBot="1" x14ac:dyDescent="0.25">
      <c r="A183" s="21">
        <v>151</v>
      </c>
      <c r="B183" s="18">
        <v>5</v>
      </c>
      <c r="C183" s="18">
        <v>25</v>
      </c>
      <c r="D183" s="18">
        <v>0</v>
      </c>
      <c r="E183" s="18">
        <v>0</v>
      </c>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272"/>
      <c r="AE183" s="240"/>
      <c r="AF183" s="231"/>
      <c r="AG183" s="231"/>
    </row>
    <row r="184" spans="1:53" ht="11.25" customHeight="1" x14ac:dyDescent="0.2">
      <c r="A184" s="21">
        <v>152</v>
      </c>
      <c r="B184" s="19">
        <v>6</v>
      </c>
      <c r="C184" s="19">
        <v>1</v>
      </c>
      <c r="D184" s="19">
        <v>-1</v>
      </c>
      <c r="E184" s="19">
        <v>-1</v>
      </c>
      <c r="F184" s="19"/>
      <c r="G184" s="19" t="s">
        <v>3651</v>
      </c>
      <c r="H184" s="19"/>
      <c r="I184" s="19"/>
      <c r="J184" s="19"/>
      <c r="K184" s="19" t="s">
        <v>588</v>
      </c>
      <c r="L184" s="19"/>
      <c r="M184" s="19"/>
      <c r="N184" s="19" t="s">
        <v>73</v>
      </c>
      <c r="O184" s="28" t="s">
        <v>523</v>
      </c>
      <c r="P184" s="19"/>
      <c r="Q184" s="19"/>
      <c r="R184" s="19"/>
      <c r="S184" s="19"/>
      <c r="T184" s="19"/>
      <c r="U184" s="19"/>
      <c r="V184" s="19"/>
      <c r="W184" s="19" t="s">
        <v>566</v>
      </c>
      <c r="X184" s="19"/>
      <c r="Y184" s="19"/>
      <c r="Z184" s="19"/>
      <c r="AA184" s="19"/>
      <c r="AB184" s="19" t="s">
        <v>1745</v>
      </c>
      <c r="AC184" s="19" t="s">
        <v>4317</v>
      </c>
      <c r="AD184" s="272"/>
      <c r="AE184" s="274" t="str">
        <f>Admin!$D$8</f>
        <v>LAB TESTS</v>
      </c>
      <c r="AF184" s="225" t="s">
        <v>4318</v>
      </c>
      <c r="AG184" s="225"/>
      <c r="AI184" s="159" t="s">
        <v>57</v>
      </c>
      <c r="AJ184" s="159" t="s">
        <v>57</v>
      </c>
      <c r="AK184" s="159" t="s">
        <v>57</v>
      </c>
      <c r="AL184" s="159" t="s">
        <v>57</v>
      </c>
      <c r="AM184" s="159" t="s">
        <v>57</v>
      </c>
      <c r="AN184" s="159" t="s">
        <v>57</v>
      </c>
      <c r="AO184" s="159" t="s">
        <v>57</v>
      </c>
      <c r="AP184" s="160" t="s">
        <v>73</v>
      </c>
      <c r="AQ184" s="160" t="s">
        <v>73</v>
      </c>
      <c r="AR184" s="160" t="s">
        <v>73</v>
      </c>
      <c r="AS184" s="160" t="s">
        <v>73</v>
      </c>
      <c r="AT184" s="160" t="s">
        <v>73</v>
      </c>
      <c r="AU184" s="160" t="s">
        <v>73</v>
      </c>
      <c r="AV184" s="160" t="s">
        <v>73</v>
      </c>
      <c r="AW184" s="159" t="s">
        <v>57</v>
      </c>
      <c r="AX184" s="159" t="s">
        <v>57</v>
      </c>
      <c r="AY184" s="159" t="s">
        <v>57</v>
      </c>
      <c r="AZ184" s="159" t="s">
        <v>57</v>
      </c>
      <c r="BA184" s="159" t="s">
        <v>57</v>
      </c>
    </row>
    <row r="185" spans="1:53" ht="11.25" customHeight="1" x14ac:dyDescent="0.2">
      <c r="A185" s="21">
        <v>153</v>
      </c>
      <c r="B185" s="19">
        <v>6</v>
      </c>
      <c r="C185" s="19">
        <v>2</v>
      </c>
      <c r="D185" s="19">
        <v>-1</v>
      </c>
      <c r="E185" s="19">
        <v>-1</v>
      </c>
      <c r="F185" s="19"/>
      <c r="G185" s="19" t="s">
        <v>3651</v>
      </c>
      <c r="H185" s="19"/>
      <c r="I185" s="19"/>
      <c r="J185" s="19"/>
      <c r="K185" s="19" t="s">
        <v>588</v>
      </c>
      <c r="L185" s="19"/>
      <c r="M185" s="19"/>
      <c r="N185" s="19" t="s">
        <v>73</v>
      </c>
      <c r="O185" s="28" t="s">
        <v>523</v>
      </c>
      <c r="P185" s="19"/>
      <c r="Q185" s="19"/>
      <c r="R185" s="19"/>
      <c r="S185" s="19"/>
      <c r="T185" s="19"/>
      <c r="U185" s="19"/>
      <c r="V185" s="19"/>
      <c r="W185" s="19" t="s">
        <v>566</v>
      </c>
      <c r="X185" s="19"/>
      <c r="Y185" s="19"/>
      <c r="Z185" s="19"/>
      <c r="AA185" s="19"/>
      <c r="AB185" s="19" t="s">
        <v>1745</v>
      </c>
      <c r="AC185" s="19" t="s">
        <v>3077</v>
      </c>
      <c r="AD185" s="272"/>
      <c r="AE185" s="275"/>
      <c r="AF185" s="225" t="s">
        <v>3652</v>
      </c>
      <c r="AG185" s="225"/>
      <c r="AI185" s="159" t="s">
        <v>57</v>
      </c>
      <c r="AJ185" s="159" t="s">
        <v>57</v>
      </c>
      <c r="AK185" s="159" t="s">
        <v>57</v>
      </c>
      <c r="AL185" s="159" t="s">
        <v>57</v>
      </c>
      <c r="AM185" s="159" t="s">
        <v>57</v>
      </c>
      <c r="AN185" s="159" t="s">
        <v>57</v>
      </c>
      <c r="AO185" s="159" t="s">
        <v>57</v>
      </c>
      <c r="AP185" s="160" t="s">
        <v>73</v>
      </c>
      <c r="AQ185" s="160" t="s">
        <v>73</v>
      </c>
      <c r="AR185" s="160" t="s">
        <v>73</v>
      </c>
      <c r="AS185" s="160" t="s">
        <v>73</v>
      </c>
      <c r="AT185" s="160" t="s">
        <v>73</v>
      </c>
      <c r="AU185" s="160" t="s">
        <v>73</v>
      </c>
      <c r="AV185" s="160" t="s">
        <v>73</v>
      </c>
      <c r="AW185" s="159" t="s">
        <v>57</v>
      </c>
      <c r="AX185" s="159" t="s">
        <v>57</v>
      </c>
      <c r="AY185" s="159" t="s">
        <v>57</v>
      </c>
      <c r="AZ185" s="159" t="s">
        <v>57</v>
      </c>
      <c r="BA185" s="159" t="s">
        <v>57</v>
      </c>
    </row>
    <row r="186" spans="1:53" ht="11.25" customHeight="1" x14ac:dyDescent="0.2">
      <c r="A186" s="21">
        <v>154</v>
      </c>
      <c r="B186" s="19">
        <v>6</v>
      </c>
      <c r="C186" s="19">
        <v>3</v>
      </c>
      <c r="D186" s="19">
        <v>-1</v>
      </c>
      <c r="E186" s="19">
        <v>-1</v>
      </c>
      <c r="F186" s="19"/>
      <c r="G186" s="19" t="s">
        <v>3651</v>
      </c>
      <c r="H186" s="19"/>
      <c r="I186" s="19"/>
      <c r="J186" s="19"/>
      <c r="K186" s="19" t="s">
        <v>588</v>
      </c>
      <c r="L186" s="19"/>
      <c r="M186" s="19"/>
      <c r="N186" s="19" t="s">
        <v>73</v>
      </c>
      <c r="O186" s="28" t="s">
        <v>523</v>
      </c>
      <c r="P186" s="19"/>
      <c r="Q186" s="19"/>
      <c r="R186" s="19"/>
      <c r="S186" s="19"/>
      <c r="T186" s="19"/>
      <c r="U186" s="19"/>
      <c r="V186" s="19"/>
      <c r="W186" s="19" t="s">
        <v>566</v>
      </c>
      <c r="X186" s="19"/>
      <c r="Y186" s="19"/>
      <c r="Z186" s="19"/>
      <c r="AA186" s="19"/>
      <c r="AB186" s="19" t="s">
        <v>1745</v>
      </c>
      <c r="AC186" s="19" t="s">
        <v>4320</v>
      </c>
      <c r="AD186" s="272"/>
      <c r="AE186" s="275"/>
      <c r="AF186" s="225" t="s">
        <v>4321</v>
      </c>
      <c r="AG186" s="225"/>
      <c r="AI186" s="159" t="s">
        <v>57</v>
      </c>
      <c r="AJ186" s="159" t="s">
        <v>57</v>
      </c>
      <c r="AK186" s="159" t="s">
        <v>57</v>
      </c>
      <c r="AL186" s="159" t="s">
        <v>57</v>
      </c>
      <c r="AM186" s="159" t="s">
        <v>57</v>
      </c>
      <c r="AN186" s="159" t="s">
        <v>57</v>
      </c>
      <c r="AO186" s="159" t="s">
        <v>57</v>
      </c>
      <c r="AP186" s="160" t="s">
        <v>73</v>
      </c>
      <c r="AQ186" s="160" t="s">
        <v>73</v>
      </c>
      <c r="AR186" s="160" t="s">
        <v>73</v>
      </c>
      <c r="AS186" s="160" t="s">
        <v>73</v>
      </c>
      <c r="AT186" s="160" t="s">
        <v>73</v>
      </c>
      <c r="AU186" s="160" t="s">
        <v>73</v>
      </c>
      <c r="AV186" s="160" t="s">
        <v>73</v>
      </c>
      <c r="AW186" s="159" t="s">
        <v>57</v>
      </c>
      <c r="AX186" s="159" t="s">
        <v>57</v>
      </c>
      <c r="AY186" s="159" t="s">
        <v>57</v>
      </c>
      <c r="AZ186" s="159" t="s">
        <v>57</v>
      </c>
      <c r="BA186" s="159" t="s">
        <v>57</v>
      </c>
    </row>
    <row r="187" spans="1:53" ht="11.25" customHeight="1" x14ac:dyDescent="0.2">
      <c r="A187" s="21">
        <v>155</v>
      </c>
      <c r="B187" s="19">
        <v>6</v>
      </c>
      <c r="C187" s="19">
        <v>4</v>
      </c>
      <c r="D187" s="19">
        <v>-1</v>
      </c>
      <c r="E187" s="19">
        <v>-1</v>
      </c>
      <c r="F187" s="19"/>
      <c r="G187" s="19" t="s">
        <v>3651</v>
      </c>
      <c r="H187" s="19"/>
      <c r="I187" s="19"/>
      <c r="J187" s="19"/>
      <c r="K187" s="19" t="s">
        <v>588</v>
      </c>
      <c r="L187" s="19"/>
      <c r="M187" s="19"/>
      <c r="N187" s="19" t="s">
        <v>73</v>
      </c>
      <c r="O187" s="28" t="s">
        <v>523</v>
      </c>
      <c r="P187" s="19"/>
      <c r="Q187" s="19"/>
      <c r="R187" s="19"/>
      <c r="S187" s="19"/>
      <c r="T187" s="19"/>
      <c r="U187" s="19"/>
      <c r="V187" s="19"/>
      <c r="W187" s="19" t="s">
        <v>566</v>
      </c>
      <c r="X187" s="19"/>
      <c r="Y187" s="19"/>
      <c r="Z187" s="19"/>
      <c r="AA187" s="19"/>
      <c r="AB187" s="19" t="s">
        <v>1745</v>
      </c>
      <c r="AC187" s="19" t="s">
        <v>3504</v>
      </c>
      <c r="AD187" s="272"/>
      <c r="AE187" s="275"/>
      <c r="AF187" s="225" t="s">
        <v>3654</v>
      </c>
      <c r="AG187" s="225"/>
      <c r="AI187" s="159" t="s">
        <v>57</v>
      </c>
      <c r="AJ187" s="159" t="s">
        <v>57</v>
      </c>
      <c r="AK187" s="159" t="s">
        <v>57</v>
      </c>
      <c r="AL187" s="159" t="s">
        <v>57</v>
      </c>
      <c r="AM187" s="159" t="s">
        <v>57</v>
      </c>
      <c r="AN187" s="159" t="s">
        <v>57</v>
      </c>
      <c r="AO187" s="159" t="s">
        <v>57</v>
      </c>
      <c r="AP187" s="160" t="s">
        <v>73</v>
      </c>
      <c r="AQ187" s="160" t="s">
        <v>73</v>
      </c>
      <c r="AR187" s="160" t="s">
        <v>73</v>
      </c>
      <c r="AS187" s="160" t="s">
        <v>73</v>
      </c>
      <c r="AT187" s="160" t="s">
        <v>73</v>
      </c>
      <c r="AU187" s="160" t="s">
        <v>73</v>
      </c>
      <c r="AV187" s="160" t="s">
        <v>73</v>
      </c>
      <c r="AW187" s="159" t="s">
        <v>57</v>
      </c>
      <c r="AX187" s="159" t="s">
        <v>57</v>
      </c>
      <c r="AY187" s="159" t="s">
        <v>57</v>
      </c>
      <c r="AZ187" s="159" t="s">
        <v>57</v>
      </c>
      <c r="BA187" s="159" t="s">
        <v>57</v>
      </c>
    </row>
    <row r="188" spans="1:53" ht="11.25" customHeight="1" x14ac:dyDescent="0.2">
      <c r="A188" s="21">
        <v>156</v>
      </c>
      <c r="B188" s="19">
        <v>6</v>
      </c>
      <c r="C188" s="19">
        <v>5</v>
      </c>
      <c r="D188" s="19">
        <v>-1</v>
      </c>
      <c r="E188" s="19">
        <v>-1</v>
      </c>
      <c r="F188" s="19"/>
      <c r="G188" s="19" t="s">
        <v>3651</v>
      </c>
      <c r="H188" s="19"/>
      <c r="I188" s="19"/>
      <c r="J188" s="19"/>
      <c r="K188" s="19" t="s">
        <v>588</v>
      </c>
      <c r="L188" s="19"/>
      <c r="M188" s="19"/>
      <c r="N188" s="19" t="s">
        <v>73</v>
      </c>
      <c r="O188" s="28" t="s">
        <v>523</v>
      </c>
      <c r="P188" s="19"/>
      <c r="Q188" s="19"/>
      <c r="R188" s="19"/>
      <c r="S188" s="19"/>
      <c r="T188" s="19"/>
      <c r="U188" s="19"/>
      <c r="V188" s="19"/>
      <c r="W188" s="19" t="s">
        <v>566</v>
      </c>
      <c r="X188" s="19"/>
      <c r="Y188" s="19"/>
      <c r="Z188" s="19"/>
      <c r="AA188" s="19"/>
      <c r="AB188" s="19" t="s">
        <v>1745</v>
      </c>
      <c r="AC188" s="19" t="s">
        <v>245</v>
      </c>
      <c r="AD188" s="272"/>
      <c r="AE188" s="275"/>
      <c r="AF188" s="225" t="s">
        <v>3655</v>
      </c>
      <c r="AG188" s="225"/>
      <c r="AI188" s="159" t="s">
        <v>57</v>
      </c>
      <c r="AJ188" s="159" t="s">
        <v>57</v>
      </c>
      <c r="AK188" s="159" t="s">
        <v>57</v>
      </c>
      <c r="AL188" s="159" t="s">
        <v>57</v>
      </c>
      <c r="AM188" s="159" t="s">
        <v>57</v>
      </c>
      <c r="AN188" s="159" t="s">
        <v>57</v>
      </c>
      <c r="AO188" s="159" t="s">
        <v>57</v>
      </c>
      <c r="AP188" s="160" t="s">
        <v>73</v>
      </c>
      <c r="AQ188" s="160" t="s">
        <v>73</v>
      </c>
      <c r="AR188" s="160" t="s">
        <v>73</v>
      </c>
      <c r="AS188" s="160" t="s">
        <v>73</v>
      </c>
      <c r="AT188" s="160" t="s">
        <v>73</v>
      </c>
      <c r="AU188" s="160" t="s">
        <v>73</v>
      </c>
      <c r="AV188" s="160" t="s">
        <v>73</v>
      </c>
      <c r="AW188" s="159" t="s">
        <v>57</v>
      </c>
      <c r="AX188" s="159" t="s">
        <v>57</v>
      </c>
      <c r="AY188" s="159" t="s">
        <v>57</v>
      </c>
      <c r="AZ188" s="159" t="s">
        <v>57</v>
      </c>
      <c r="BA188" s="159" t="s">
        <v>57</v>
      </c>
    </row>
    <row r="189" spans="1:53" ht="11.25" customHeight="1" x14ac:dyDescent="0.2">
      <c r="A189" s="21">
        <v>157</v>
      </c>
      <c r="B189" s="19">
        <v>6</v>
      </c>
      <c r="C189" s="19">
        <v>6</v>
      </c>
      <c r="D189" s="19">
        <v>-1</v>
      </c>
      <c r="E189" s="19">
        <v>-1</v>
      </c>
      <c r="F189" s="19"/>
      <c r="G189" s="19" t="s">
        <v>3651</v>
      </c>
      <c r="H189" s="19"/>
      <c r="I189" s="19"/>
      <c r="J189" s="19"/>
      <c r="K189" s="19" t="s">
        <v>588</v>
      </c>
      <c r="L189" s="19"/>
      <c r="M189" s="19"/>
      <c r="N189" s="19" t="s">
        <v>73</v>
      </c>
      <c r="O189" s="28" t="s">
        <v>523</v>
      </c>
      <c r="P189" s="19"/>
      <c r="Q189" s="19"/>
      <c r="R189" s="19"/>
      <c r="S189" s="19"/>
      <c r="T189" s="19"/>
      <c r="U189" s="19"/>
      <c r="V189" s="19"/>
      <c r="W189" s="19" t="s">
        <v>566</v>
      </c>
      <c r="X189" s="19"/>
      <c r="Y189" s="19"/>
      <c r="Z189" s="19"/>
      <c r="AA189" s="19"/>
      <c r="AB189" s="19" t="s">
        <v>1745</v>
      </c>
      <c r="AC189" s="19" t="s">
        <v>587</v>
      </c>
      <c r="AD189" s="272"/>
      <c r="AE189" s="275"/>
      <c r="AF189" s="225" t="s">
        <v>3656</v>
      </c>
      <c r="AG189" s="225"/>
      <c r="AI189" s="159" t="s">
        <v>57</v>
      </c>
      <c r="AJ189" s="159" t="s">
        <v>57</v>
      </c>
      <c r="AK189" s="159" t="s">
        <v>57</v>
      </c>
      <c r="AL189" s="159" t="s">
        <v>57</v>
      </c>
      <c r="AM189" s="159" t="s">
        <v>57</v>
      </c>
      <c r="AN189" s="159" t="s">
        <v>57</v>
      </c>
      <c r="AO189" s="159" t="s">
        <v>57</v>
      </c>
      <c r="AP189" s="160" t="s">
        <v>73</v>
      </c>
      <c r="AQ189" s="160" t="s">
        <v>73</v>
      </c>
      <c r="AR189" s="160" t="s">
        <v>73</v>
      </c>
      <c r="AS189" s="160" t="s">
        <v>73</v>
      </c>
      <c r="AT189" s="160" t="s">
        <v>73</v>
      </c>
      <c r="AU189" s="160" t="s">
        <v>73</v>
      </c>
      <c r="AV189" s="160" t="s">
        <v>73</v>
      </c>
      <c r="AW189" s="159" t="s">
        <v>57</v>
      </c>
      <c r="AX189" s="159" t="s">
        <v>57</v>
      </c>
      <c r="AY189" s="159" t="s">
        <v>57</v>
      </c>
      <c r="AZ189" s="159" t="s">
        <v>57</v>
      </c>
      <c r="BA189" s="159" t="s">
        <v>57</v>
      </c>
    </row>
    <row r="190" spans="1:53" ht="11.25" customHeight="1" x14ac:dyDescent="0.2">
      <c r="A190" s="21">
        <v>158</v>
      </c>
      <c r="B190" s="19">
        <v>6</v>
      </c>
      <c r="C190" s="19">
        <v>7</v>
      </c>
      <c r="D190" s="19">
        <v>-1</v>
      </c>
      <c r="E190" s="19">
        <v>-1</v>
      </c>
      <c r="F190" s="19"/>
      <c r="G190" s="19" t="s">
        <v>3659</v>
      </c>
      <c r="H190" s="19"/>
      <c r="I190" s="19"/>
      <c r="J190" s="19"/>
      <c r="K190" s="19" t="s">
        <v>588</v>
      </c>
      <c r="L190" s="19"/>
      <c r="M190" s="19"/>
      <c r="N190" s="19" t="s">
        <v>73</v>
      </c>
      <c r="O190" s="28" t="s">
        <v>523</v>
      </c>
      <c r="P190" s="19"/>
      <c r="Q190" s="19"/>
      <c r="R190" s="19"/>
      <c r="S190" s="19"/>
      <c r="T190" s="19"/>
      <c r="U190" s="19"/>
      <c r="V190" s="19"/>
      <c r="W190" s="19" t="s">
        <v>3660</v>
      </c>
      <c r="X190" s="19"/>
      <c r="Y190" s="19"/>
      <c r="Z190" s="19"/>
      <c r="AA190" s="19"/>
      <c r="AB190" s="19" t="s">
        <v>1745</v>
      </c>
      <c r="AC190" s="19" t="s">
        <v>3658</v>
      </c>
      <c r="AD190" s="272"/>
      <c r="AE190" s="275"/>
      <c r="AF190" s="225" t="s">
        <v>3661</v>
      </c>
      <c r="AG190" s="225"/>
      <c r="AI190" s="159" t="s">
        <v>57</v>
      </c>
      <c r="AJ190" s="159" t="s">
        <v>57</v>
      </c>
      <c r="AK190" s="159" t="s">
        <v>57</v>
      </c>
      <c r="AL190" s="159" t="s">
        <v>57</v>
      </c>
      <c r="AM190" s="159" t="s">
        <v>57</v>
      </c>
      <c r="AN190" s="159" t="s">
        <v>57</v>
      </c>
      <c r="AO190" s="159" t="s">
        <v>57</v>
      </c>
      <c r="AP190" s="160" t="s">
        <v>73</v>
      </c>
      <c r="AQ190" s="160" t="s">
        <v>73</v>
      </c>
      <c r="AR190" s="160" t="s">
        <v>73</v>
      </c>
      <c r="AS190" s="160" t="s">
        <v>73</v>
      </c>
      <c r="AT190" s="160" t="s">
        <v>73</v>
      </c>
      <c r="AU190" s="160" t="s">
        <v>73</v>
      </c>
      <c r="AV190" s="160" t="s">
        <v>73</v>
      </c>
      <c r="AW190" s="159" t="s">
        <v>57</v>
      </c>
      <c r="AX190" s="159" t="s">
        <v>57</v>
      </c>
      <c r="AY190" s="159" t="s">
        <v>57</v>
      </c>
      <c r="AZ190" s="159" t="s">
        <v>57</v>
      </c>
      <c r="BA190" s="159" t="s">
        <v>57</v>
      </c>
    </row>
    <row r="191" spans="1:53" ht="11.25" customHeight="1" x14ac:dyDescent="0.2">
      <c r="A191" s="21">
        <v>159</v>
      </c>
      <c r="B191" s="19">
        <v>6</v>
      </c>
      <c r="C191" s="19">
        <v>8</v>
      </c>
      <c r="D191" s="19">
        <v>-1</v>
      </c>
      <c r="E191" s="19">
        <v>-1</v>
      </c>
      <c r="F191" s="19"/>
      <c r="G191" s="19" t="s">
        <v>3659</v>
      </c>
      <c r="H191" s="19"/>
      <c r="I191" s="19"/>
      <c r="J191" s="19"/>
      <c r="K191" s="19" t="s">
        <v>588</v>
      </c>
      <c r="L191" s="19"/>
      <c r="M191" s="19"/>
      <c r="N191" s="19" t="s">
        <v>73</v>
      </c>
      <c r="O191" s="28" t="s">
        <v>523</v>
      </c>
      <c r="P191" s="19"/>
      <c r="Q191" s="19"/>
      <c r="R191" s="19"/>
      <c r="S191" s="19"/>
      <c r="T191" s="19"/>
      <c r="U191" s="19"/>
      <c r="V191" s="19"/>
      <c r="W191" s="19" t="s">
        <v>3660</v>
      </c>
      <c r="X191" s="19"/>
      <c r="Y191" s="19"/>
      <c r="Z191" s="19"/>
      <c r="AA191" s="19"/>
      <c r="AB191" s="19" t="s">
        <v>1745</v>
      </c>
      <c r="AC191" s="19" t="s">
        <v>3663</v>
      </c>
      <c r="AD191" s="272"/>
      <c r="AE191" s="275"/>
      <c r="AF191" s="225" t="s">
        <v>3664</v>
      </c>
      <c r="AG191" s="225"/>
      <c r="AI191" s="159" t="s">
        <v>57</v>
      </c>
      <c r="AJ191" s="159" t="s">
        <v>57</v>
      </c>
      <c r="AK191" s="159" t="s">
        <v>57</v>
      </c>
      <c r="AL191" s="159" t="s">
        <v>57</v>
      </c>
      <c r="AM191" s="159" t="s">
        <v>57</v>
      </c>
      <c r="AN191" s="159" t="s">
        <v>57</v>
      </c>
      <c r="AO191" s="159" t="s">
        <v>57</v>
      </c>
      <c r="AP191" s="160" t="s">
        <v>73</v>
      </c>
      <c r="AQ191" s="160" t="s">
        <v>73</v>
      </c>
      <c r="AR191" s="160" t="s">
        <v>73</v>
      </c>
      <c r="AS191" s="160" t="s">
        <v>73</v>
      </c>
      <c r="AT191" s="160" t="s">
        <v>73</v>
      </c>
      <c r="AU191" s="160" t="s">
        <v>73</v>
      </c>
      <c r="AV191" s="160" t="s">
        <v>73</v>
      </c>
      <c r="AW191" s="159" t="s">
        <v>57</v>
      </c>
      <c r="AX191" s="159" t="s">
        <v>57</v>
      </c>
      <c r="AY191" s="159" t="s">
        <v>57</v>
      </c>
      <c r="AZ191" s="159" t="s">
        <v>57</v>
      </c>
      <c r="BA191" s="159" t="s">
        <v>57</v>
      </c>
    </row>
    <row r="192" spans="1:53" ht="11.25" customHeight="1" x14ac:dyDescent="0.2">
      <c r="A192" s="21">
        <v>160</v>
      </c>
      <c r="B192" s="19">
        <v>6</v>
      </c>
      <c r="C192" s="19">
        <v>9</v>
      </c>
      <c r="D192" s="19">
        <v>-1</v>
      </c>
      <c r="E192" s="19">
        <v>-1</v>
      </c>
      <c r="F192" s="19"/>
      <c r="G192" s="19" t="s">
        <v>3659</v>
      </c>
      <c r="H192" s="19"/>
      <c r="I192" s="19"/>
      <c r="J192" s="19"/>
      <c r="K192" s="19" t="s">
        <v>588</v>
      </c>
      <c r="L192" s="19"/>
      <c r="M192" s="19"/>
      <c r="N192" s="19" t="s">
        <v>73</v>
      </c>
      <c r="O192" s="28" t="s">
        <v>523</v>
      </c>
      <c r="P192" s="19"/>
      <c r="Q192" s="19"/>
      <c r="R192" s="19"/>
      <c r="S192" s="19"/>
      <c r="T192" s="19"/>
      <c r="U192" s="19"/>
      <c r="V192" s="19"/>
      <c r="W192" s="19" t="s">
        <v>2867</v>
      </c>
      <c r="X192" s="19"/>
      <c r="Y192" s="19"/>
      <c r="Z192" s="19"/>
      <c r="AA192" s="19"/>
      <c r="AB192" s="19" t="s">
        <v>1745</v>
      </c>
      <c r="AC192" s="19" t="s">
        <v>4323</v>
      </c>
      <c r="AD192" s="272"/>
      <c r="AE192" s="275"/>
      <c r="AF192" s="225" t="s">
        <v>4324</v>
      </c>
      <c r="AG192" s="225"/>
      <c r="AI192" s="159" t="s">
        <v>57</v>
      </c>
      <c r="AJ192" s="159" t="s">
        <v>57</v>
      </c>
      <c r="AK192" s="159" t="s">
        <v>57</v>
      </c>
      <c r="AL192" s="159" t="s">
        <v>57</v>
      </c>
      <c r="AM192" s="159" t="s">
        <v>57</v>
      </c>
      <c r="AN192" s="159" t="s">
        <v>57</v>
      </c>
      <c r="AO192" s="159" t="s">
        <v>57</v>
      </c>
      <c r="AP192" s="160" t="s">
        <v>73</v>
      </c>
      <c r="AQ192" s="160" t="s">
        <v>73</v>
      </c>
      <c r="AR192" s="160" t="s">
        <v>73</v>
      </c>
      <c r="AS192" s="160" t="s">
        <v>73</v>
      </c>
      <c r="AT192" s="160" t="s">
        <v>73</v>
      </c>
      <c r="AU192" s="160" t="s">
        <v>73</v>
      </c>
      <c r="AV192" s="160" t="s">
        <v>73</v>
      </c>
      <c r="AW192" s="159" t="s">
        <v>57</v>
      </c>
      <c r="AX192" s="159" t="s">
        <v>57</v>
      </c>
      <c r="AY192" s="159" t="s">
        <v>57</v>
      </c>
      <c r="AZ192" s="159" t="s">
        <v>57</v>
      </c>
      <c r="BA192" s="159" t="s">
        <v>57</v>
      </c>
    </row>
    <row r="193" spans="1:53" ht="11.25" customHeight="1" x14ac:dyDescent="0.2">
      <c r="A193" s="21">
        <v>161</v>
      </c>
      <c r="B193" s="19">
        <v>6</v>
      </c>
      <c r="C193" s="19">
        <v>10</v>
      </c>
      <c r="D193" s="19">
        <v>-1</v>
      </c>
      <c r="E193" s="19">
        <v>-1</v>
      </c>
      <c r="F193" s="19"/>
      <c r="G193" s="19" t="s">
        <v>3659</v>
      </c>
      <c r="H193" s="19"/>
      <c r="I193" s="19"/>
      <c r="J193" s="19"/>
      <c r="K193" s="19" t="s">
        <v>588</v>
      </c>
      <c r="L193" s="19"/>
      <c r="M193" s="19"/>
      <c r="N193" s="19" t="s">
        <v>73</v>
      </c>
      <c r="O193" s="28" t="s">
        <v>523</v>
      </c>
      <c r="P193" s="19"/>
      <c r="Q193" s="19"/>
      <c r="R193" s="19"/>
      <c r="S193" s="19"/>
      <c r="T193" s="19"/>
      <c r="U193" s="19"/>
      <c r="V193" s="19"/>
      <c r="W193" s="19" t="s">
        <v>2867</v>
      </c>
      <c r="X193" s="19"/>
      <c r="Y193" s="19"/>
      <c r="Z193" s="19"/>
      <c r="AA193" s="19"/>
      <c r="AB193" s="19" t="s">
        <v>1745</v>
      </c>
      <c r="AC193" s="19" t="s">
        <v>4326</v>
      </c>
      <c r="AD193" s="272"/>
      <c r="AE193" s="275"/>
      <c r="AF193" s="225" t="s">
        <v>4327</v>
      </c>
      <c r="AG193" s="225"/>
      <c r="AI193" s="159" t="s">
        <v>57</v>
      </c>
      <c r="AJ193" s="159" t="s">
        <v>57</v>
      </c>
      <c r="AK193" s="159" t="s">
        <v>57</v>
      </c>
      <c r="AL193" s="159" t="s">
        <v>57</v>
      </c>
      <c r="AM193" s="159" t="s">
        <v>57</v>
      </c>
      <c r="AN193" s="159" t="s">
        <v>57</v>
      </c>
      <c r="AO193" s="159" t="s">
        <v>57</v>
      </c>
      <c r="AP193" s="160" t="s">
        <v>73</v>
      </c>
      <c r="AQ193" s="160" t="s">
        <v>73</v>
      </c>
      <c r="AR193" s="160" t="s">
        <v>73</v>
      </c>
      <c r="AS193" s="160" t="s">
        <v>73</v>
      </c>
      <c r="AT193" s="160" t="s">
        <v>73</v>
      </c>
      <c r="AU193" s="160" t="s">
        <v>73</v>
      </c>
      <c r="AV193" s="160" t="s">
        <v>73</v>
      </c>
      <c r="AW193" s="159" t="s">
        <v>57</v>
      </c>
      <c r="AX193" s="159" t="s">
        <v>57</v>
      </c>
      <c r="AY193" s="159" t="s">
        <v>57</v>
      </c>
      <c r="AZ193" s="159" t="s">
        <v>57</v>
      </c>
      <c r="BA193" s="159" t="s">
        <v>57</v>
      </c>
    </row>
    <row r="194" spans="1:53" ht="11.25" customHeight="1" x14ac:dyDescent="0.2">
      <c r="A194" s="21">
        <v>162</v>
      </c>
      <c r="B194" s="19">
        <v>6</v>
      </c>
      <c r="C194" s="19">
        <v>11</v>
      </c>
      <c r="D194" s="19">
        <v>-1</v>
      </c>
      <c r="E194" s="19">
        <v>-1</v>
      </c>
      <c r="F194" s="19"/>
      <c r="G194" s="19" t="s">
        <v>3659</v>
      </c>
      <c r="H194" s="19"/>
      <c r="I194" s="19"/>
      <c r="J194" s="19"/>
      <c r="K194" s="19" t="s">
        <v>588</v>
      </c>
      <c r="L194" s="19"/>
      <c r="M194" s="19"/>
      <c r="N194" s="19" t="s">
        <v>73</v>
      </c>
      <c r="O194" s="28" t="s">
        <v>523</v>
      </c>
      <c r="P194" s="19"/>
      <c r="Q194" s="19"/>
      <c r="R194" s="19"/>
      <c r="S194" s="19"/>
      <c r="T194" s="19"/>
      <c r="U194" s="19"/>
      <c r="V194" s="19"/>
      <c r="W194" s="19" t="s">
        <v>2867</v>
      </c>
      <c r="X194" s="19"/>
      <c r="Y194" s="19"/>
      <c r="Z194" s="19"/>
      <c r="AA194" s="19"/>
      <c r="AB194" s="19" t="s">
        <v>1745</v>
      </c>
      <c r="AC194" s="19" t="s">
        <v>4329</v>
      </c>
      <c r="AD194" s="272"/>
      <c r="AE194" s="275"/>
      <c r="AF194" s="225" t="s">
        <v>4330</v>
      </c>
      <c r="AG194" s="225"/>
      <c r="AI194" s="159" t="s">
        <v>57</v>
      </c>
      <c r="AJ194" s="159" t="s">
        <v>57</v>
      </c>
      <c r="AK194" s="159" t="s">
        <v>57</v>
      </c>
      <c r="AL194" s="159" t="s">
        <v>57</v>
      </c>
      <c r="AM194" s="159" t="s">
        <v>57</v>
      </c>
      <c r="AN194" s="159" t="s">
        <v>57</v>
      </c>
      <c r="AO194" s="159" t="s">
        <v>57</v>
      </c>
      <c r="AP194" s="160" t="s">
        <v>73</v>
      </c>
      <c r="AQ194" s="160" t="s">
        <v>73</v>
      </c>
      <c r="AR194" s="160" t="s">
        <v>73</v>
      </c>
      <c r="AS194" s="160" t="s">
        <v>73</v>
      </c>
      <c r="AT194" s="160" t="s">
        <v>73</v>
      </c>
      <c r="AU194" s="160" t="s">
        <v>73</v>
      </c>
      <c r="AV194" s="160" t="s">
        <v>73</v>
      </c>
      <c r="AW194" s="159" t="s">
        <v>57</v>
      </c>
      <c r="AX194" s="159" t="s">
        <v>57</v>
      </c>
      <c r="AY194" s="159" t="s">
        <v>57</v>
      </c>
      <c r="AZ194" s="159" t="s">
        <v>57</v>
      </c>
      <c r="BA194" s="159" t="s">
        <v>57</v>
      </c>
    </row>
    <row r="195" spans="1:53" ht="11.25" customHeight="1" x14ac:dyDescent="0.2">
      <c r="A195" s="21">
        <v>163</v>
      </c>
      <c r="B195" s="19">
        <v>6</v>
      </c>
      <c r="C195" s="19">
        <v>12</v>
      </c>
      <c r="D195" s="19">
        <v>-1</v>
      </c>
      <c r="E195" s="19">
        <v>-1</v>
      </c>
      <c r="F195" s="19"/>
      <c r="G195" s="19" t="s">
        <v>4333</v>
      </c>
      <c r="H195" s="19"/>
      <c r="I195" s="19"/>
      <c r="J195" s="19"/>
      <c r="K195" s="19" t="s">
        <v>588</v>
      </c>
      <c r="L195" s="19"/>
      <c r="M195" s="19"/>
      <c r="N195" s="19" t="s">
        <v>73</v>
      </c>
      <c r="O195" s="28" t="s">
        <v>523</v>
      </c>
      <c r="P195" s="19"/>
      <c r="Q195" s="19"/>
      <c r="R195" s="19"/>
      <c r="S195" s="19"/>
      <c r="T195" s="19"/>
      <c r="U195" s="19"/>
      <c r="V195" s="19"/>
      <c r="W195" s="19" t="s">
        <v>348</v>
      </c>
      <c r="X195" s="19"/>
      <c r="Y195" s="19"/>
      <c r="Z195" s="19"/>
      <c r="AA195" s="19"/>
      <c r="AB195" s="19" t="s">
        <v>1745</v>
      </c>
      <c r="AC195" s="19" t="s">
        <v>4332</v>
      </c>
      <c r="AD195" s="272"/>
      <c r="AE195" s="275"/>
      <c r="AF195" s="225" t="s">
        <v>4334</v>
      </c>
      <c r="AG195" s="225"/>
      <c r="AI195" s="159" t="s">
        <v>57</v>
      </c>
      <c r="AJ195" s="159" t="s">
        <v>57</v>
      </c>
      <c r="AK195" s="159" t="s">
        <v>57</v>
      </c>
      <c r="AL195" s="159" t="s">
        <v>57</v>
      </c>
      <c r="AM195" s="159" t="s">
        <v>57</v>
      </c>
      <c r="AN195" s="159" t="s">
        <v>57</v>
      </c>
      <c r="AO195" s="159" t="s">
        <v>57</v>
      </c>
      <c r="AP195" s="160" t="s">
        <v>73</v>
      </c>
      <c r="AQ195" s="160" t="s">
        <v>73</v>
      </c>
      <c r="AR195" s="160" t="s">
        <v>73</v>
      </c>
      <c r="AS195" s="160" t="s">
        <v>73</v>
      </c>
      <c r="AT195" s="160" t="s">
        <v>73</v>
      </c>
      <c r="AU195" s="160" t="s">
        <v>73</v>
      </c>
      <c r="AV195" s="160" t="s">
        <v>73</v>
      </c>
      <c r="AW195" s="159" t="s">
        <v>57</v>
      </c>
      <c r="AX195" s="159" t="s">
        <v>57</v>
      </c>
      <c r="AY195" s="159" t="s">
        <v>57</v>
      </c>
      <c r="AZ195" s="159" t="s">
        <v>57</v>
      </c>
      <c r="BA195" s="159" t="s">
        <v>57</v>
      </c>
    </row>
    <row r="196" spans="1:53" ht="11.25" customHeight="1" x14ac:dyDescent="0.2">
      <c r="A196" s="21">
        <v>164</v>
      </c>
      <c r="B196" s="19">
        <v>6</v>
      </c>
      <c r="C196" s="19">
        <v>13</v>
      </c>
      <c r="D196" s="19">
        <v>-1</v>
      </c>
      <c r="E196" s="19">
        <v>-1</v>
      </c>
      <c r="F196" s="19"/>
      <c r="G196" s="19" t="s">
        <v>4333</v>
      </c>
      <c r="H196" s="19"/>
      <c r="I196" s="19"/>
      <c r="J196" s="19"/>
      <c r="K196" s="19" t="s">
        <v>588</v>
      </c>
      <c r="L196" s="19"/>
      <c r="M196" s="19"/>
      <c r="N196" s="19" t="s">
        <v>73</v>
      </c>
      <c r="O196" s="28" t="s">
        <v>523</v>
      </c>
      <c r="P196" s="19"/>
      <c r="Q196" s="19"/>
      <c r="R196" s="19"/>
      <c r="S196" s="19"/>
      <c r="T196" s="19"/>
      <c r="U196" s="19"/>
      <c r="V196" s="19"/>
      <c r="W196" s="19" t="s">
        <v>348</v>
      </c>
      <c r="X196" s="19"/>
      <c r="Y196" s="19"/>
      <c r="Z196" s="19"/>
      <c r="AA196" s="19"/>
      <c r="AB196" s="19" t="s">
        <v>1745</v>
      </c>
      <c r="AC196" s="19" t="s">
        <v>3052</v>
      </c>
      <c r="AD196" s="272"/>
      <c r="AE196" s="275"/>
      <c r="AF196" s="225" t="s">
        <v>4336</v>
      </c>
      <c r="AG196" s="225"/>
      <c r="AI196" s="159" t="s">
        <v>57</v>
      </c>
      <c r="AJ196" s="159" t="s">
        <v>57</v>
      </c>
      <c r="AK196" s="159" t="s">
        <v>57</v>
      </c>
      <c r="AL196" s="159" t="s">
        <v>57</v>
      </c>
      <c r="AM196" s="159" t="s">
        <v>57</v>
      </c>
      <c r="AN196" s="159" t="s">
        <v>57</v>
      </c>
      <c r="AO196" s="159" t="s">
        <v>57</v>
      </c>
      <c r="AP196" s="160" t="s">
        <v>73</v>
      </c>
      <c r="AQ196" s="160" t="s">
        <v>73</v>
      </c>
      <c r="AR196" s="160" t="s">
        <v>73</v>
      </c>
      <c r="AS196" s="160" t="s">
        <v>73</v>
      </c>
      <c r="AT196" s="160" t="s">
        <v>73</v>
      </c>
      <c r="AU196" s="160" t="s">
        <v>73</v>
      </c>
      <c r="AV196" s="160" t="s">
        <v>73</v>
      </c>
      <c r="AW196" s="159" t="s">
        <v>57</v>
      </c>
      <c r="AX196" s="159" t="s">
        <v>57</v>
      </c>
      <c r="AY196" s="159" t="s">
        <v>57</v>
      </c>
      <c r="AZ196" s="159" t="s">
        <v>57</v>
      </c>
      <c r="BA196" s="159" t="s">
        <v>57</v>
      </c>
    </row>
    <row r="197" spans="1:53" ht="11.25" customHeight="1" x14ac:dyDescent="0.2">
      <c r="A197" s="21">
        <v>165</v>
      </c>
      <c r="B197" s="19">
        <v>6</v>
      </c>
      <c r="C197" s="19">
        <v>14</v>
      </c>
      <c r="D197" s="19">
        <v>-1</v>
      </c>
      <c r="E197" s="19">
        <v>-1</v>
      </c>
      <c r="F197" s="19"/>
      <c r="G197" s="19" t="s">
        <v>4333</v>
      </c>
      <c r="H197" s="19"/>
      <c r="I197" s="19"/>
      <c r="J197" s="19"/>
      <c r="K197" s="19" t="s">
        <v>588</v>
      </c>
      <c r="L197" s="19"/>
      <c r="M197" s="19"/>
      <c r="N197" s="19" t="s">
        <v>73</v>
      </c>
      <c r="O197" s="28" t="s">
        <v>523</v>
      </c>
      <c r="P197" s="19"/>
      <c r="Q197" s="19"/>
      <c r="R197" s="19"/>
      <c r="S197" s="19"/>
      <c r="T197" s="19"/>
      <c r="U197" s="19"/>
      <c r="V197" s="19"/>
      <c r="W197" s="19" t="s">
        <v>348</v>
      </c>
      <c r="X197" s="19"/>
      <c r="Y197" s="19"/>
      <c r="Z197" s="19"/>
      <c r="AA197" s="19"/>
      <c r="AB197" s="19" t="s">
        <v>1745</v>
      </c>
      <c r="AC197" s="19" t="s">
        <v>4338</v>
      </c>
      <c r="AD197" s="272"/>
      <c r="AE197" s="275"/>
      <c r="AF197" s="225" t="s">
        <v>4339</v>
      </c>
      <c r="AG197" s="225"/>
      <c r="AI197" s="159" t="s">
        <v>57</v>
      </c>
      <c r="AJ197" s="159" t="s">
        <v>57</v>
      </c>
      <c r="AK197" s="159" t="s">
        <v>57</v>
      </c>
      <c r="AL197" s="159" t="s">
        <v>57</v>
      </c>
      <c r="AM197" s="159" t="s">
        <v>57</v>
      </c>
      <c r="AN197" s="159" t="s">
        <v>57</v>
      </c>
      <c r="AO197" s="159" t="s">
        <v>57</v>
      </c>
      <c r="AP197" s="160" t="s">
        <v>73</v>
      </c>
      <c r="AQ197" s="160" t="s">
        <v>73</v>
      </c>
      <c r="AR197" s="160" t="s">
        <v>73</v>
      </c>
      <c r="AS197" s="160" t="s">
        <v>73</v>
      </c>
      <c r="AT197" s="160" t="s">
        <v>73</v>
      </c>
      <c r="AU197" s="160" t="s">
        <v>73</v>
      </c>
      <c r="AV197" s="160" t="s">
        <v>73</v>
      </c>
      <c r="AW197" s="159" t="s">
        <v>57</v>
      </c>
      <c r="AX197" s="159" t="s">
        <v>57</v>
      </c>
      <c r="AY197" s="159" t="s">
        <v>57</v>
      </c>
      <c r="AZ197" s="159" t="s">
        <v>57</v>
      </c>
      <c r="BA197" s="159" t="s">
        <v>57</v>
      </c>
    </row>
    <row r="198" spans="1:53" ht="11.25" customHeight="1" x14ac:dyDescent="0.2">
      <c r="A198" s="21">
        <v>166</v>
      </c>
      <c r="B198" s="19">
        <v>6</v>
      </c>
      <c r="C198" s="19">
        <v>15</v>
      </c>
      <c r="D198" s="19">
        <v>-1</v>
      </c>
      <c r="E198" s="19">
        <v>-1</v>
      </c>
      <c r="F198" s="19"/>
      <c r="G198" s="19" t="s">
        <v>3667</v>
      </c>
      <c r="H198" s="19"/>
      <c r="I198" s="19"/>
      <c r="J198" s="19"/>
      <c r="K198" s="19" t="s">
        <v>588</v>
      </c>
      <c r="L198" s="19"/>
      <c r="M198" s="19"/>
      <c r="N198" s="19" t="s">
        <v>73</v>
      </c>
      <c r="O198" s="28" t="s">
        <v>523</v>
      </c>
      <c r="P198" s="19"/>
      <c r="Q198" s="19"/>
      <c r="R198" s="19"/>
      <c r="S198" s="19"/>
      <c r="T198" s="19"/>
      <c r="U198" s="19"/>
      <c r="V198" s="19"/>
      <c r="W198" s="19" t="s">
        <v>3668</v>
      </c>
      <c r="X198" s="19"/>
      <c r="Y198" s="19"/>
      <c r="Z198" s="19"/>
      <c r="AA198" s="19"/>
      <c r="AB198" s="19" t="s">
        <v>1745</v>
      </c>
      <c r="AC198" s="19" t="s">
        <v>3666</v>
      </c>
      <c r="AD198" s="272"/>
      <c r="AE198" s="275"/>
      <c r="AF198" s="225" t="s">
        <v>3669</v>
      </c>
      <c r="AG198" s="225"/>
      <c r="AI198" s="159" t="s">
        <v>57</v>
      </c>
      <c r="AJ198" s="159" t="s">
        <v>57</v>
      </c>
      <c r="AK198" s="159" t="s">
        <v>57</v>
      </c>
      <c r="AL198" s="159" t="s">
        <v>57</v>
      </c>
      <c r="AM198" s="159" t="s">
        <v>57</v>
      </c>
      <c r="AN198" s="159" t="s">
        <v>57</v>
      </c>
      <c r="AO198" s="159" t="s">
        <v>57</v>
      </c>
      <c r="AP198" s="160" t="s">
        <v>73</v>
      </c>
      <c r="AQ198" s="160" t="s">
        <v>73</v>
      </c>
      <c r="AR198" s="160" t="s">
        <v>73</v>
      </c>
      <c r="AS198" s="160" t="s">
        <v>73</v>
      </c>
      <c r="AT198" s="160" t="s">
        <v>73</v>
      </c>
      <c r="AU198" s="160" t="s">
        <v>73</v>
      </c>
      <c r="AV198" s="160" t="s">
        <v>73</v>
      </c>
      <c r="AW198" s="159" t="s">
        <v>57</v>
      </c>
      <c r="AX198" s="159" t="s">
        <v>57</v>
      </c>
      <c r="AY198" s="159" t="s">
        <v>57</v>
      </c>
      <c r="AZ198" s="159" t="s">
        <v>57</v>
      </c>
      <c r="BA198" s="159" t="s">
        <v>57</v>
      </c>
    </row>
    <row r="199" spans="1:53" ht="11.25" customHeight="1" x14ac:dyDescent="0.2">
      <c r="A199" s="21">
        <v>167</v>
      </c>
      <c r="B199" s="19">
        <v>6</v>
      </c>
      <c r="C199" s="19">
        <v>16</v>
      </c>
      <c r="D199" s="19">
        <v>-1</v>
      </c>
      <c r="E199" s="19">
        <v>-1</v>
      </c>
      <c r="F199" s="19"/>
      <c r="G199" s="19" t="s">
        <v>3667</v>
      </c>
      <c r="H199" s="19"/>
      <c r="I199" s="19"/>
      <c r="J199" s="19"/>
      <c r="K199" s="19" t="s">
        <v>588</v>
      </c>
      <c r="L199" s="19"/>
      <c r="M199" s="19"/>
      <c r="N199" s="19" t="s">
        <v>73</v>
      </c>
      <c r="O199" s="28" t="s">
        <v>523</v>
      </c>
      <c r="P199" s="19"/>
      <c r="Q199" s="19"/>
      <c r="R199" s="19"/>
      <c r="S199" s="19"/>
      <c r="T199" s="19"/>
      <c r="U199" s="19"/>
      <c r="V199" s="19"/>
      <c r="W199" s="19" t="s">
        <v>3668</v>
      </c>
      <c r="X199" s="19"/>
      <c r="Y199" s="19"/>
      <c r="Z199" s="19"/>
      <c r="AA199" s="19"/>
      <c r="AB199" s="19" t="s">
        <v>1745</v>
      </c>
      <c r="AC199" s="19" t="s">
        <v>3671</v>
      </c>
      <c r="AD199" s="272"/>
      <c r="AE199" s="275"/>
      <c r="AF199" s="225" t="s">
        <v>3672</v>
      </c>
      <c r="AG199" s="225"/>
      <c r="AI199" s="159" t="s">
        <v>57</v>
      </c>
      <c r="AJ199" s="159" t="s">
        <v>57</v>
      </c>
      <c r="AK199" s="159" t="s">
        <v>57</v>
      </c>
      <c r="AL199" s="159" t="s">
        <v>57</v>
      </c>
      <c r="AM199" s="159" t="s">
        <v>57</v>
      </c>
      <c r="AN199" s="159" t="s">
        <v>57</v>
      </c>
      <c r="AO199" s="159" t="s">
        <v>57</v>
      </c>
      <c r="AP199" s="160" t="s">
        <v>73</v>
      </c>
      <c r="AQ199" s="160" t="s">
        <v>73</v>
      </c>
      <c r="AR199" s="160" t="s">
        <v>73</v>
      </c>
      <c r="AS199" s="160" t="s">
        <v>73</v>
      </c>
      <c r="AT199" s="160" t="s">
        <v>73</v>
      </c>
      <c r="AU199" s="160" t="s">
        <v>73</v>
      </c>
      <c r="AV199" s="160" t="s">
        <v>73</v>
      </c>
      <c r="AW199" s="159" t="s">
        <v>57</v>
      </c>
      <c r="AX199" s="159" t="s">
        <v>57</v>
      </c>
      <c r="AY199" s="159" t="s">
        <v>57</v>
      </c>
      <c r="AZ199" s="159" t="s">
        <v>57</v>
      </c>
      <c r="BA199" s="159" t="s">
        <v>57</v>
      </c>
    </row>
    <row r="200" spans="1:53" ht="11.25" customHeight="1" x14ac:dyDescent="0.2">
      <c r="A200" s="21">
        <v>168</v>
      </c>
      <c r="B200" s="19">
        <v>6</v>
      </c>
      <c r="C200" s="19">
        <v>17</v>
      </c>
      <c r="D200" s="19">
        <v>-1</v>
      </c>
      <c r="E200" s="19">
        <v>-1</v>
      </c>
      <c r="F200" s="19"/>
      <c r="G200" s="19" t="s">
        <v>3667</v>
      </c>
      <c r="H200" s="19"/>
      <c r="I200" s="19"/>
      <c r="J200" s="19"/>
      <c r="K200" s="19" t="s">
        <v>588</v>
      </c>
      <c r="L200" s="19"/>
      <c r="M200" s="19"/>
      <c r="N200" s="19" t="s">
        <v>73</v>
      </c>
      <c r="O200" s="28" t="s">
        <v>523</v>
      </c>
      <c r="P200" s="19"/>
      <c r="Q200" s="19"/>
      <c r="R200" s="19"/>
      <c r="S200" s="19"/>
      <c r="T200" s="19"/>
      <c r="U200" s="19"/>
      <c r="V200" s="19"/>
      <c r="W200" s="19" t="s">
        <v>3668</v>
      </c>
      <c r="X200" s="19"/>
      <c r="Y200" s="19"/>
      <c r="Z200" s="19"/>
      <c r="AA200" s="19"/>
      <c r="AB200" s="19" t="s">
        <v>1745</v>
      </c>
      <c r="AC200" s="19" t="s">
        <v>4341</v>
      </c>
      <c r="AD200" s="272"/>
      <c r="AE200" s="275"/>
      <c r="AF200" s="225" t="s">
        <v>4342</v>
      </c>
      <c r="AG200" s="225"/>
      <c r="AI200" s="159" t="s">
        <v>57</v>
      </c>
      <c r="AJ200" s="159" t="s">
        <v>57</v>
      </c>
      <c r="AK200" s="159" t="s">
        <v>57</v>
      </c>
      <c r="AL200" s="159" t="s">
        <v>57</v>
      </c>
      <c r="AM200" s="159" t="s">
        <v>57</v>
      </c>
      <c r="AN200" s="159" t="s">
        <v>57</v>
      </c>
      <c r="AO200" s="159" t="s">
        <v>57</v>
      </c>
      <c r="AP200" s="160" t="s">
        <v>73</v>
      </c>
      <c r="AQ200" s="160" t="s">
        <v>73</v>
      </c>
      <c r="AR200" s="160" t="s">
        <v>73</v>
      </c>
      <c r="AS200" s="160" t="s">
        <v>73</v>
      </c>
      <c r="AT200" s="160" t="s">
        <v>73</v>
      </c>
      <c r="AU200" s="160" t="s">
        <v>73</v>
      </c>
      <c r="AV200" s="160" t="s">
        <v>73</v>
      </c>
      <c r="AW200" s="159" t="s">
        <v>57</v>
      </c>
      <c r="AX200" s="159" t="s">
        <v>57</v>
      </c>
      <c r="AY200" s="159" t="s">
        <v>57</v>
      </c>
      <c r="AZ200" s="159" t="s">
        <v>57</v>
      </c>
      <c r="BA200" s="159" t="s">
        <v>57</v>
      </c>
    </row>
    <row r="201" spans="1:53" ht="11.25" customHeight="1" x14ac:dyDescent="0.2">
      <c r="A201" s="21">
        <v>169</v>
      </c>
      <c r="B201" s="19">
        <v>6</v>
      </c>
      <c r="C201" s="19">
        <v>18</v>
      </c>
      <c r="D201" s="19">
        <v>-1</v>
      </c>
      <c r="E201" s="19">
        <v>-1</v>
      </c>
      <c r="F201" s="19"/>
      <c r="G201" s="19" t="s">
        <v>3667</v>
      </c>
      <c r="H201" s="19"/>
      <c r="I201" s="19"/>
      <c r="J201" s="19"/>
      <c r="K201" s="19" t="s">
        <v>588</v>
      </c>
      <c r="L201" s="19"/>
      <c r="M201" s="19"/>
      <c r="N201" s="19" t="s">
        <v>73</v>
      </c>
      <c r="O201" s="28" t="s">
        <v>523</v>
      </c>
      <c r="P201" s="19"/>
      <c r="Q201" s="19"/>
      <c r="R201" s="19"/>
      <c r="S201" s="19"/>
      <c r="T201" s="19"/>
      <c r="U201" s="19"/>
      <c r="V201" s="19"/>
      <c r="W201" s="19" t="s">
        <v>3668</v>
      </c>
      <c r="X201" s="19"/>
      <c r="Y201" s="19"/>
      <c r="Z201" s="19"/>
      <c r="AA201" s="19"/>
      <c r="AB201" s="19" t="s">
        <v>1745</v>
      </c>
      <c r="AC201" s="19" t="s">
        <v>4344</v>
      </c>
      <c r="AD201" s="272"/>
      <c r="AE201" s="275"/>
      <c r="AF201" s="225" t="s">
        <v>4345</v>
      </c>
      <c r="AG201" s="225"/>
      <c r="AI201" s="159" t="s">
        <v>57</v>
      </c>
      <c r="AJ201" s="159" t="s">
        <v>57</v>
      </c>
      <c r="AK201" s="159" t="s">
        <v>57</v>
      </c>
      <c r="AL201" s="159" t="s">
        <v>57</v>
      </c>
      <c r="AM201" s="159" t="s">
        <v>57</v>
      </c>
      <c r="AN201" s="159" t="s">
        <v>57</v>
      </c>
      <c r="AO201" s="159" t="s">
        <v>57</v>
      </c>
      <c r="AP201" s="160" t="s">
        <v>73</v>
      </c>
      <c r="AQ201" s="160" t="s">
        <v>73</v>
      </c>
      <c r="AR201" s="160" t="s">
        <v>73</v>
      </c>
      <c r="AS201" s="160" t="s">
        <v>73</v>
      </c>
      <c r="AT201" s="160" t="s">
        <v>73</v>
      </c>
      <c r="AU201" s="160" t="s">
        <v>73</v>
      </c>
      <c r="AV201" s="160" t="s">
        <v>73</v>
      </c>
      <c r="AW201" s="159" t="s">
        <v>57</v>
      </c>
      <c r="AX201" s="159" t="s">
        <v>57</v>
      </c>
      <c r="AY201" s="159" t="s">
        <v>57</v>
      </c>
      <c r="AZ201" s="159" t="s">
        <v>57</v>
      </c>
      <c r="BA201" s="159" t="s">
        <v>57</v>
      </c>
    </row>
    <row r="202" spans="1:53" ht="11.25" customHeight="1" x14ac:dyDescent="0.2">
      <c r="A202" s="21">
        <v>170</v>
      </c>
      <c r="B202" s="19">
        <v>6</v>
      </c>
      <c r="C202" s="19">
        <v>19</v>
      </c>
      <c r="D202" s="19">
        <v>-1</v>
      </c>
      <c r="E202" s="19">
        <v>-1</v>
      </c>
      <c r="F202" s="19"/>
      <c r="G202" s="19" t="s">
        <v>3667</v>
      </c>
      <c r="H202" s="19"/>
      <c r="I202" s="19"/>
      <c r="J202" s="19"/>
      <c r="K202" s="19" t="s">
        <v>588</v>
      </c>
      <c r="L202" s="19"/>
      <c r="M202" s="19"/>
      <c r="N202" s="19" t="s">
        <v>73</v>
      </c>
      <c r="O202" s="28" t="s">
        <v>523</v>
      </c>
      <c r="P202" s="19"/>
      <c r="Q202" s="19"/>
      <c r="R202" s="19"/>
      <c r="S202" s="19"/>
      <c r="T202" s="19"/>
      <c r="U202" s="19"/>
      <c r="V202" s="19"/>
      <c r="W202" s="19" t="s">
        <v>3668</v>
      </c>
      <c r="X202" s="19"/>
      <c r="Y202" s="19"/>
      <c r="Z202" s="19"/>
      <c r="AA202" s="19"/>
      <c r="AB202" s="19" t="s">
        <v>1745</v>
      </c>
      <c r="AC202" s="19" t="s">
        <v>3674</v>
      </c>
      <c r="AD202" s="272"/>
      <c r="AE202" s="275"/>
      <c r="AF202" s="225" t="s">
        <v>3675</v>
      </c>
      <c r="AG202" s="225"/>
      <c r="AI202" s="159" t="s">
        <v>57</v>
      </c>
      <c r="AJ202" s="159" t="s">
        <v>57</v>
      </c>
      <c r="AK202" s="159" t="s">
        <v>57</v>
      </c>
      <c r="AL202" s="159" t="s">
        <v>57</v>
      </c>
      <c r="AM202" s="159" t="s">
        <v>57</v>
      </c>
      <c r="AN202" s="159" t="s">
        <v>57</v>
      </c>
      <c r="AO202" s="159" t="s">
        <v>57</v>
      </c>
      <c r="AP202" s="160" t="s">
        <v>73</v>
      </c>
      <c r="AQ202" s="160" t="s">
        <v>73</v>
      </c>
      <c r="AR202" s="160" t="s">
        <v>73</v>
      </c>
      <c r="AS202" s="160" t="s">
        <v>73</v>
      </c>
      <c r="AT202" s="160" t="s">
        <v>73</v>
      </c>
      <c r="AU202" s="160" t="s">
        <v>73</v>
      </c>
      <c r="AV202" s="160" t="s">
        <v>73</v>
      </c>
      <c r="AW202" s="159" t="s">
        <v>57</v>
      </c>
      <c r="AX202" s="159" t="s">
        <v>57</v>
      </c>
      <c r="AY202" s="159" t="s">
        <v>57</v>
      </c>
      <c r="AZ202" s="159" t="s">
        <v>57</v>
      </c>
      <c r="BA202" s="159" t="s">
        <v>57</v>
      </c>
    </row>
    <row r="203" spans="1:53" ht="11.25" customHeight="1" x14ac:dyDescent="0.2">
      <c r="A203" s="21">
        <v>171</v>
      </c>
      <c r="B203" s="19">
        <v>6</v>
      </c>
      <c r="C203" s="19">
        <v>20</v>
      </c>
      <c r="D203" s="19">
        <v>-1</v>
      </c>
      <c r="E203" s="19">
        <v>-1</v>
      </c>
      <c r="F203" s="19"/>
      <c r="G203" s="19" t="s">
        <v>3667</v>
      </c>
      <c r="H203" s="19"/>
      <c r="I203" s="19"/>
      <c r="J203" s="19"/>
      <c r="K203" s="19" t="s">
        <v>588</v>
      </c>
      <c r="L203" s="19"/>
      <c r="M203" s="19"/>
      <c r="N203" s="19" t="s">
        <v>73</v>
      </c>
      <c r="O203" s="28" t="s">
        <v>523</v>
      </c>
      <c r="P203" s="19"/>
      <c r="Q203" s="19"/>
      <c r="R203" s="19"/>
      <c r="S203" s="19"/>
      <c r="T203" s="19"/>
      <c r="U203" s="19"/>
      <c r="V203" s="19"/>
      <c r="W203" s="19" t="s">
        <v>3668</v>
      </c>
      <c r="X203" s="19"/>
      <c r="Y203" s="19"/>
      <c r="Z203" s="19"/>
      <c r="AA203" s="19"/>
      <c r="AB203" s="19" t="s">
        <v>1745</v>
      </c>
      <c r="AC203" s="19" t="s">
        <v>3677</v>
      </c>
      <c r="AD203" s="272"/>
      <c r="AE203" s="275"/>
      <c r="AF203" s="225" t="s">
        <v>3678</v>
      </c>
      <c r="AG203" s="225"/>
      <c r="AI203" s="159" t="s">
        <v>57</v>
      </c>
      <c r="AJ203" s="159" t="s">
        <v>57</v>
      </c>
      <c r="AK203" s="159" t="s">
        <v>57</v>
      </c>
      <c r="AL203" s="159" t="s">
        <v>57</v>
      </c>
      <c r="AM203" s="159" t="s">
        <v>57</v>
      </c>
      <c r="AN203" s="159" t="s">
        <v>57</v>
      </c>
      <c r="AO203" s="159" t="s">
        <v>57</v>
      </c>
      <c r="AP203" s="160" t="s">
        <v>73</v>
      </c>
      <c r="AQ203" s="160" t="s">
        <v>73</v>
      </c>
      <c r="AR203" s="160" t="s">
        <v>73</v>
      </c>
      <c r="AS203" s="160" t="s">
        <v>73</v>
      </c>
      <c r="AT203" s="160" t="s">
        <v>73</v>
      </c>
      <c r="AU203" s="160" t="s">
        <v>73</v>
      </c>
      <c r="AV203" s="160" t="s">
        <v>73</v>
      </c>
      <c r="AW203" s="159" t="s">
        <v>57</v>
      </c>
      <c r="AX203" s="159" t="s">
        <v>57</v>
      </c>
      <c r="AY203" s="159" t="s">
        <v>57</v>
      </c>
      <c r="AZ203" s="159" t="s">
        <v>57</v>
      </c>
      <c r="BA203" s="159" t="s">
        <v>57</v>
      </c>
    </row>
    <row r="204" spans="1:53" ht="11.25" hidden="1" customHeight="1" x14ac:dyDescent="0.2">
      <c r="A204" s="21">
        <v>172</v>
      </c>
      <c r="B204" s="19">
        <v>6</v>
      </c>
      <c r="C204" s="19">
        <v>21</v>
      </c>
      <c r="D204" s="19">
        <v>0</v>
      </c>
      <c r="E204" s="19">
        <v>0</v>
      </c>
      <c r="F204" s="19"/>
      <c r="G204" s="19"/>
      <c r="H204" s="19"/>
      <c r="I204" s="19"/>
      <c r="J204" s="19"/>
      <c r="K204" s="19" t="s">
        <v>588</v>
      </c>
      <c r="L204" s="19"/>
      <c r="M204" s="19"/>
      <c r="N204" s="19" t="s">
        <v>73</v>
      </c>
      <c r="O204" s="28" t="s">
        <v>523</v>
      </c>
      <c r="P204" s="19"/>
      <c r="Q204" s="19"/>
      <c r="R204" s="19"/>
      <c r="S204" s="19"/>
      <c r="T204" s="19"/>
      <c r="U204" s="19"/>
      <c r="V204" s="19"/>
      <c r="W204" s="19"/>
      <c r="X204" s="19"/>
      <c r="Y204" s="19"/>
      <c r="Z204" s="19"/>
      <c r="AA204" s="19"/>
      <c r="AB204" s="19" t="s">
        <v>1745</v>
      </c>
      <c r="AC204" s="19"/>
      <c r="AD204" s="272"/>
      <c r="AE204" s="275"/>
      <c r="AF204" s="225"/>
      <c r="AG204" s="225"/>
    </row>
    <row r="205" spans="1:53" ht="11.25" hidden="1" customHeight="1" x14ac:dyDescent="0.2">
      <c r="A205" s="21">
        <v>173</v>
      </c>
      <c r="B205" s="19">
        <v>6</v>
      </c>
      <c r="C205" s="19">
        <v>22</v>
      </c>
      <c r="D205" s="19">
        <v>0</v>
      </c>
      <c r="E205" s="19">
        <v>0</v>
      </c>
      <c r="F205" s="19"/>
      <c r="G205" s="19"/>
      <c r="H205" s="19"/>
      <c r="I205" s="19"/>
      <c r="J205" s="19"/>
      <c r="K205" s="19" t="s">
        <v>588</v>
      </c>
      <c r="L205" s="19"/>
      <c r="M205" s="19"/>
      <c r="N205" s="19" t="s">
        <v>73</v>
      </c>
      <c r="O205" s="28" t="s">
        <v>523</v>
      </c>
      <c r="P205" s="19"/>
      <c r="Q205" s="19"/>
      <c r="R205" s="19"/>
      <c r="S205" s="19"/>
      <c r="T205" s="19"/>
      <c r="U205" s="19"/>
      <c r="V205" s="19"/>
      <c r="W205" s="19"/>
      <c r="X205" s="19"/>
      <c r="Y205" s="19"/>
      <c r="Z205" s="19"/>
      <c r="AA205" s="19"/>
      <c r="AB205" s="19" t="s">
        <v>1745</v>
      </c>
      <c r="AC205" s="19"/>
      <c r="AD205" s="272"/>
      <c r="AE205" s="275"/>
      <c r="AF205" s="225"/>
      <c r="AG205" s="225"/>
    </row>
    <row r="206" spans="1:53" ht="11.25" hidden="1" customHeight="1" x14ac:dyDescent="0.2">
      <c r="A206" s="21">
        <v>174</v>
      </c>
      <c r="B206" s="19">
        <v>6</v>
      </c>
      <c r="C206" s="19">
        <v>23</v>
      </c>
      <c r="D206" s="19">
        <v>0</v>
      </c>
      <c r="E206" s="19">
        <v>0</v>
      </c>
      <c r="F206" s="19"/>
      <c r="G206" s="19"/>
      <c r="H206" s="19"/>
      <c r="I206" s="19"/>
      <c r="J206" s="19"/>
      <c r="K206" s="19" t="s">
        <v>588</v>
      </c>
      <c r="L206" s="19"/>
      <c r="M206" s="19"/>
      <c r="N206" s="19" t="s">
        <v>73</v>
      </c>
      <c r="O206" s="28" t="s">
        <v>523</v>
      </c>
      <c r="P206" s="19"/>
      <c r="Q206" s="19"/>
      <c r="R206" s="19"/>
      <c r="S206" s="19"/>
      <c r="T206" s="19"/>
      <c r="U206" s="19"/>
      <c r="V206" s="19"/>
      <c r="W206" s="19"/>
      <c r="X206" s="19"/>
      <c r="Y206" s="19"/>
      <c r="Z206" s="19"/>
      <c r="AA206" s="19"/>
      <c r="AB206" s="19" t="s">
        <v>1745</v>
      </c>
      <c r="AC206" s="19"/>
      <c r="AD206" s="272"/>
      <c r="AE206" s="275"/>
      <c r="AF206" s="225"/>
      <c r="AG206" s="225"/>
    </row>
    <row r="207" spans="1:53" ht="11.25" hidden="1" customHeight="1" x14ac:dyDescent="0.2">
      <c r="A207" s="21">
        <v>175</v>
      </c>
      <c r="B207" s="19">
        <v>6</v>
      </c>
      <c r="C207" s="19">
        <v>24</v>
      </c>
      <c r="D207" s="19">
        <v>0</v>
      </c>
      <c r="E207" s="19">
        <v>0</v>
      </c>
      <c r="F207" s="19"/>
      <c r="G207" s="19"/>
      <c r="H207" s="19"/>
      <c r="I207" s="19"/>
      <c r="J207" s="19"/>
      <c r="K207" s="19" t="s">
        <v>588</v>
      </c>
      <c r="L207" s="19"/>
      <c r="M207" s="19"/>
      <c r="N207" s="19" t="s">
        <v>73</v>
      </c>
      <c r="O207" s="28" t="s">
        <v>523</v>
      </c>
      <c r="P207" s="19"/>
      <c r="Q207" s="19"/>
      <c r="R207" s="19"/>
      <c r="S207" s="19"/>
      <c r="T207" s="19"/>
      <c r="U207" s="19"/>
      <c r="V207" s="19"/>
      <c r="W207" s="19"/>
      <c r="X207" s="19"/>
      <c r="Y207" s="19"/>
      <c r="Z207" s="19"/>
      <c r="AA207" s="19"/>
      <c r="AB207" s="19" t="s">
        <v>1745</v>
      </c>
      <c r="AC207" s="19"/>
      <c r="AD207" s="272"/>
      <c r="AE207" s="275"/>
      <c r="AF207" s="225"/>
      <c r="AG207" s="225"/>
    </row>
    <row r="208" spans="1:53" ht="11.25" hidden="1" customHeight="1" x14ac:dyDescent="0.2">
      <c r="A208" s="21">
        <v>176</v>
      </c>
      <c r="B208" s="19">
        <v>6</v>
      </c>
      <c r="C208" s="19">
        <v>25</v>
      </c>
      <c r="D208" s="19">
        <v>0</v>
      </c>
      <c r="E208" s="19">
        <v>0</v>
      </c>
      <c r="F208" s="19"/>
      <c r="G208" s="19"/>
      <c r="H208" s="19"/>
      <c r="I208" s="19"/>
      <c r="J208" s="19"/>
      <c r="K208" s="19" t="s">
        <v>588</v>
      </c>
      <c r="L208" s="19"/>
      <c r="M208" s="19"/>
      <c r="N208" s="19" t="s">
        <v>73</v>
      </c>
      <c r="O208" s="28" t="s">
        <v>523</v>
      </c>
      <c r="P208" s="19"/>
      <c r="Q208" s="19"/>
      <c r="R208" s="19"/>
      <c r="S208" s="19"/>
      <c r="T208" s="19"/>
      <c r="U208" s="19"/>
      <c r="V208" s="19"/>
      <c r="W208" s="19"/>
      <c r="X208" s="19"/>
      <c r="Y208" s="19"/>
      <c r="Z208" s="19"/>
      <c r="AA208" s="19"/>
      <c r="AB208" s="19" t="s">
        <v>1745</v>
      </c>
      <c r="AC208" s="19"/>
      <c r="AD208" s="272"/>
      <c r="AE208" s="275"/>
      <c r="AF208" s="225"/>
      <c r="AG208" s="225"/>
    </row>
    <row r="209" spans="1:34" ht="11.25" hidden="1" customHeight="1" x14ac:dyDescent="0.2">
      <c r="A209" s="21">
        <v>177</v>
      </c>
      <c r="B209" s="19">
        <v>6</v>
      </c>
      <c r="C209" s="19">
        <v>26</v>
      </c>
      <c r="D209" s="19">
        <v>0</v>
      </c>
      <c r="E209" s="19">
        <v>0</v>
      </c>
      <c r="F209" s="19"/>
      <c r="G209" s="19"/>
      <c r="H209" s="19"/>
      <c r="I209" s="19"/>
      <c r="J209" s="19"/>
      <c r="K209" s="19" t="s">
        <v>588</v>
      </c>
      <c r="L209" s="19"/>
      <c r="M209" s="19"/>
      <c r="N209" s="19" t="s">
        <v>73</v>
      </c>
      <c r="O209" s="28" t="s">
        <v>523</v>
      </c>
      <c r="P209" s="19"/>
      <c r="Q209" s="19"/>
      <c r="R209" s="19"/>
      <c r="S209" s="19"/>
      <c r="T209" s="19"/>
      <c r="U209" s="19"/>
      <c r="V209" s="19"/>
      <c r="W209" s="19"/>
      <c r="X209" s="19"/>
      <c r="Y209" s="19"/>
      <c r="Z209" s="19"/>
      <c r="AA209" s="19"/>
      <c r="AB209" s="19" t="s">
        <v>1745</v>
      </c>
      <c r="AC209" s="19"/>
      <c r="AD209" s="272"/>
      <c r="AE209" s="276"/>
      <c r="AF209" s="225"/>
      <c r="AG209" s="225"/>
      <c r="AH209" s="1"/>
    </row>
    <row r="210" spans="1:34" ht="11.25" hidden="1" customHeight="1" x14ac:dyDescent="0.2">
      <c r="A210" s="21">
        <v>178</v>
      </c>
      <c r="B210" s="19">
        <v>6</v>
      </c>
      <c r="C210" s="19">
        <v>27</v>
      </c>
      <c r="D210" s="19">
        <v>0</v>
      </c>
      <c r="E210" s="19">
        <v>0</v>
      </c>
      <c r="F210" s="19"/>
      <c r="G210" s="19"/>
      <c r="H210" s="19"/>
      <c r="I210" s="19"/>
      <c r="J210" s="19"/>
      <c r="K210" s="19" t="s">
        <v>588</v>
      </c>
      <c r="L210" s="19"/>
      <c r="M210" s="19"/>
      <c r="N210" s="19" t="s">
        <v>73</v>
      </c>
      <c r="O210" s="28" t="s">
        <v>523</v>
      </c>
      <c r="P210" s="19"/>
      <c r="Q210" s="19"/>
      <c r="R210" s="19"/>
      <c r="S210" s="19"/>
      <c r="T210" s="19"/>
      <c r="U210" s="19"/>
      <c r="V210" s="19"/>
      <c r="W210" s="19"/>
      <c r="X210" s="19"/>
      <c r="Y210" s="19"/>
      <c r="Z210" s="19"/>
      <c r="AA210" s="19"/>
      <c r="AB210" s="19" t="s">
        <v>1745</v>
      </c>
      <c r="AC210" s="19"/>
      <c r="AD210" s="272"/>
      <c r="AE210" s="276"/>
      <c r="AF210" s="225"/>
      <c r="AG210" s="225"/>
      <c r="AH210" s="1"/>
    </row>
    <row r="211" spans="1:34" ht="11.25" hidden="1" customHeight="1" x14ac:dyDescent="0.2">
      <c r="A211" s="21">
        <v>179</v>
      </c>
      <c r="B211" s="19">
        <v>6</v>
      </c>
      <c r="C211" s="19">
        <v>28</v>
      </c>
      <c r="D211" s="19">
        <v>0</v>
      </c>
      <c r="E211" s="19">
        <v>0</v>
      </c>
      <c r="F211" s="19"/>
      <c r="G211" s="19"/>
      <c r="H211" s="19"/>
      <c r="I211" s="19"/>
      <c r="J211" s="19"/>
      <c r="K211" s="19" t="s">
        <v>588</v>
      </c>
      <c r="L211" s="19"/>
      <c r="M211" s="19"/>
      <c r="N211" s="19" t="s">
        <v>73</v>
      </c>
      <c r="O211" s="28" t="s">
        <v>523</v>
      </c>
      <c r="P211" s="19"/>
      <c r="Q211" s="19"/>
      <c r="R211" s="19"/>
      <c r="S211" s="19"/>
      <c r="T211" s="19"/>
      <c r="U211" s="19"/>
      <c r="V211" s="19"/>
      <c r="W211" s="19"/>
      <c r="X211" s="19"/>
      <c r="Y211" s="19"/>
      <c r="Z211" s="19"/>
      <c r="AA211" s="19"/>
      <c r="AB211" s="19" t="s">
        <v>1745</v>
      </c>
      <c r="AC211" s="19"/>
      <c r="AD211" s="272"/>
      <c r="AE211" s="276"/>
      <c r="AF211" s="225"/>
      <c r="AG211" s="225"/>
      <c r="AH211" s="1"/>
    </row>
    <row r="212" spans="1:34" ht="11.25" hidden="1" customHeight="1" x14ac:dyDescent="0.2">
      <c r="A212" s="21">
        <v>180</v>
      </c>
      <c r="B212" s="19">
        <v>6</v>
      </c>
      <c r="C212" s="19">
        <v>29</v>
      </c>
      <c r="D212" s="19">
        <v>0</v>
      </c>
      <c r="E212" s="19">
        <v>0</v>
      </c>
      <c r="F212" s="19"/>
      <c r="G212" s="19"/>
      <c r="H212" s="19"/>
      <c r="I212" s="19"/>
      <c r="J212" s="19"/>
      <c r="K212" s="19" t="s">
        <v>588</v>
      </c>
      <c r="L212" s="19"/>
      <c r="M212" s="19"/>
      <c r="N212" s="19" t="s">
        <v>73</v>
      </c>
      <c r="O212" s="28" t="s">
        <v>523</v>
      </c>
      <c r="P212" s="19"/>
      <c r="Q212" s="19"/>
      <c r="R212" s="19"/>
      <c r="S212" s="19"/>
      <c r="T212" s="19"/>
      <c r="U212" s="19"/>
      <c r="V212" s="19"/>
      <c r="W212" s="19"/>
      <c r="X212" s="19"/>
      <c r="Y212" s="19"/>
      <c r="Z212" s="19"/>
      <c r="AA212" s="19"/>
      <c r="AB212" s="19" t="s">
        <v>1745</v>
      </c>
      <c r="AC212" s="19"/>
      <c r="AD212" s="272"/>
      <c r="AE212" s="276"/>
      <c r="AF212" s="225"/>
      <c r="AG212" s="225"/>
      <c r="AH212" s="1"/>
    </row>
    <row r="213" spans="1:34" ht="11.25" hidden="1" customHeight="1" x14ac:dyDescent="0.2">
      <c r="A213" s="21">
        <v>181</v>
      </c>
      <c r="B213" s="19">
        <v>6</v>
      </c>
      <c r="C213" s="19">
        <v>30</v>
      </c>
      <c r="D213" s="19">
        <v>0</v>
      </c>
      <c r="E213" s="19">
        <v>0</v>
      </c>
      <c r="F213" s="19"/>
      <c r="G213" s="19"/>
      <c r="H213" s="19"/>
      <c r="I213" s="19"/>
      <c r="J213" s="19"/>
      <c r="K213" s="19" t="s">
        <v>588</v>
      </c>
      <c r="L213" s="19"/>
      <c r="M213" s="19"/>
      <c r="N213" s="19" t="s">
        <v>73</v>
      </c>
      <c r="O213" s="28" t="s">
        <v>523</v>
      </c>
      <c r="P213" s="19"/>
      <c r="Q213" s="19"/>
      <c r="R213" s="19"/>
      <c r="S213" s="19"/>
      <c r="T213" s="19"/>
      <c r="U213" s="19"/>
      <c r="V213" s="19"/>
      <c r="W213" s="19"/>
      <c r="X213" s="19"/>
      <c r="Y213" s="19"/>
      <c r="Z213" s="19"/>
      <c r="AA213" s="19"/>
      <c r="AB213" s="19" t="s">
        <v>1745</v>
      </c>
      <c r="AC213" s="19"/>
      <c r="AD213" s="272"/>
      <c r="AE213" s="276"/>
      <c r="AF213" s="225"/>
      <c r="AG213" s="225"/>
      <c r="AH213" s="1"/>
    </row>
    <row r="214" spans="1:34" ht="11.25" hidden="1" customHeight="1" x14ac:dyDescent="0.2">
      <c r="A214" s="21">
        <v>182</v>
      </c>
      <c r="B214" s="19">
        <v>6</v>
      </c>
      <c r="C214" s="19">
        <v>31</v>
      </c>
      <c r="D214" s="19">
        <v>0</v>
      </c>
      <c r="E214" s="19">
        <v>0</v>
      </c>
      <c r="F214" s="19"/>
      <c r="G214" s="19"/>
      <c r="H214" s="19"/>
      <c r="I214" s="19"/>
      <c r="J214" s="19"/>
      <c r="K214" s="19" t="s">
        <v>588</v>
      </c>
      <c r="L214" s="19"/>
      <c r="M214" s="19"/>
      <c r="N214" s="19" t="s">
        <v>73</v>
      </c>
      <c r="O214" s="28" t="s">
        <v>523</v>
      </c>
      <c r="P214" s="19"/>
      <c r="Q214" s="19"/>
      <c r="R214" s="19"/>
      <c r="S214" s="19"/>
      <c r="T214" s="19"/>
      <c r="U214" s="19"/>
      <c r="V214" s="19"/>
      <c r="W214" s="19"/>
      <c r="X214" s="19"/>
      <c r="Y214" s="19"/>
      <c r="Z214" s="19"/>
      <c r="AA214" s="19"/>
      <c r="AB214" s="19" t="s">
        <v>1745</v>
      </c>
      <c r="AC214" s="19"/>
      <c r="AD214" s="272"/>
      <c r="AE214" s="276"/>
      <c r="AF214" s="225"/>
      <c r="AG214" s="225"/>
      <c r="AH214" s="1"/>
    </row>
    <row r="215" spans="1:34" ht="11.25" hidden="1" customHeight="1" x14ac:dyDescent="0.2">
      <c r="A215" s="21">
        <v>183</v>
      </c>
      <c r="B215" s="19">
        <v>6</v>
      </c>
      <c r="C215" s="19">
        <v>32</v>
      </c>
      <c r="D215" s="19">
        <v>0</v>
      </c>
      <c r="E215" s="19">
        <v>0</v>
      </c>
      <c r="F215" s="19"/>
      <c r="G215" s="19"/>
      <c r="H215" s="19"/>
      <c r="I215" s="19"/>
      <c r="J215" s="19"/>
      <c r="K215" s="19" t="s">
        <v>588</v>
      </c>
      <c r="L215" s="19"/>
      <c r="M215" s="19"/>
      <c r="N215" s="19" t="s">
        <v>73</v>
      </c>
      <c r="O215" s="28" t="s">
        <v>523</v>
      </c>
      <c r="P215" s="19"/>
      <c r="Q215" s="19"/>
      <c r="R215" s="19"/>
      <c r="S215" s="19"/>
      <c r="T215" s="19"/>
      <c r="U215" s="19"/>
      <c r="V215" s="19"/>
      <c r="W215" s="19"/>
      <c r="X215" s="19"/>
      <c r="Y215" s="19"/>
      <c r="Z215" s="19"/>
      <c r="AA215" s="19"/>
      <c r="AB215" s="19" t="s">
        <v>1745</v>
      </c>
      <c r="AC215" s="19"/>
      <c r="AD215" s="272"/>
      <c r="AE215" s="276"/>
      <c r="AF215" s="225"/>
      <c r="AG215" s="225"/>
      <c r="AH215" s="1"/>
    </row>
    <row r="216" spans="1:34" ht="11.25" hidden="1" customHeight="1" x14ac:dyDescent="0.2">
      <c r="A216" s="21">
        <v>184</v>
      </c>
      <c r="B216" s="19">
        <v>6</v>
      </c>
      <c r="C216" s="19">
        <v>33</v>
      </c>
      <c r="D216" s="19">
        <v>0</v>
      </c>
      <c r="E216" s="19">
        <v>0</v>
      </c>
      <c r="F216" s="19"/>
      <c r="G216" s="19"/>
      <c r="H216" s="19"/>
      <c r="I216" s="19"/>
      <c r="J216" s="19"/>
      <c r="K216" s="19" t="s">
        <v>588</v>
      </c>
      <c r="L216" s="19"/>
      <c r="M216" s="19"/>
      <c r="N216" s="19" t="s">
        <v>73</v>
      </c>
      <c r="O216" s="28" t="s">
        <v>523</v>
      </c>
      <c r="P216" s="19"/>
      <c r="Q216" s="19"/>
      <c r="R216" s="19"/>
      <c r="S216" s="19"/>
      <c r="T216" s="19"/>
      <c r="U216" s="19"/>
      <c r="V216" s="19"/>
      <c r="W216" s="19"/>
      <c r="X216" s="19"/>
      <c r="Y216" s="19"/>
      <c r="Z216" s="19"/>
      <c r="AA216" s="19"/>
      <c r="AB216" s="19" t="s">
        <v>1745</v>
      </c>
      <c r="AC216" s="19"/>
      <c r="AD216" s="272"/>
      <c r="AE216" s="276"/>
      <c r="AF216" s="225"/>
      <c r="AG216" s="225"/>
      <c r="AH216" s="1"/>
    </row>
    <row r="217" spans="1:34" ht="11.25" hidden="1" customHeight="1" x14ac:dyDescent="0.2">
      <c r="A217" s="21">
        <v>185</v>
      </c>
      <c r="B217" s="19">
        <v>6</v>
      </c>
      <c r="C217" s="19">
        <v>34</v>
      </c>
      <c r="D217" s="19">
        <v>0</v>
      </c>
      <c r="E217" s="19">
        <v>0</v>
      </c>
      <c r="F217" s="19"/>
      <c r="G217" s="19"/>
      <c r="H217" s="19"/>
      <c r="I217" s="19"/>
      <c r="J217" s="19"/>
      <c r="K217" s="19" t="s">
        <v>588</v>
      </c>
      <c r="L217" s="19"/>
      <c r="M217" s="19"/>
      <c r="N217" s="19" t="s">
        <v>73</v>
      </c>
      <c r="O217" s="28" t="s">
        <v>523</v>
      </c>
      <c r="P217" s="19"/>
      <c r="Q217" s="19"/>
      <c r="R217" s="19"/>
      <c r="S217" s="19"/>
      <c r="T217" s="19"/>
      <c r="U217" s="19"/>
      <c r="V217" s="19"/>
      <c r="W217" s="19"/>
      <c r="X217" s="19"/>
      <c r="Y217" s="19"/>
      <c r="Z217" s="19"/>
      <c r="AA217" s="19"/>
      <c r="AB217" s="19" t="s">
        <v>1745</v>
      </c>
      <c r="AC217" s="19"/>
      <c r="AD217" s="272"/>
      <c r="AE217" s="276"/>
      <c r="AF217" s="225"/>
      <c r="AG217" s="225"/>
      <c r="AH217" s="1"/>
    </row>
    <row r="218" spans="1:34" ht="11.25" hidden="1" customHeight="1" x14ac:dyDescent="0.2">
      <c r="A218" s="21">
        <v>186</v>
      </c>
      <c r="B218" s="19">
        <v>6</v>
      </c>
      <c r="C218" s="19">
        <v>35</v>
      </c>
      <c r="D218" s="19">
        <v>0</v>
      </c>
      <c r="E218" s="19">
        <v>0</v>
      </c>
      <c r="F218" s="19"/>
      <c r="G218" s="19"/>
      <c r="H218" s="19"/>
      <c r="I218" s="19"/>
      <c r="J218" s="19"/>
      <c r="K218" s="19" t="s">
        <v>588</v>
      </c>
      <c r="L218" s="19"/>
      <c r="M218" s="19"/>
      <c r="N218" s="19" t="s">
        <v>73</v>
      </c>
      <c r="O218" s="28" t="s">
        <v>523</v>
      </c>
      <c r="P218" s="19"/>
      <c r="Q218" s="19"/>
      <c r="R218" s="19"/>
      <c r="S218" s="19"/>
      <c r="T218" s="19"/>
      <c r="U218" s="19"/>
      <c r="V218" s="19"/>
      <c r="W218" s="19"/>
      <c r="X218" s="19"/>
      <c r="Y218" s="19"/>
      <c r="Z218" s="19"/>
      <c r="AA218" s="19"/>
      <c r="AB218" s="19" t="s">
        <v>1745</v>
      </c>
      <c r="AC218" s="19"/>
      <c r="AD218" s="272"/>
      <c r="AE218" s="276"/>
      <c r="AF218" s="225"/>
      <c r="AG218" s="225"/>
      <c r="AH218" s="1"/>
    </row>
    <row r="219" spans="1:34" ht="11.25" hidden="1" customHeight="1" x14ac:dyDescent="0.2">
      <c r="A219" s="21">
        <v>187</v>
      </c>
      <c r="B219" s="19">
        <v>6</v>
      </c>
      <c r="C219" s="19">
        <v>36</v>
      </c>
      <c r="D219" s="19">
        <v>0</v>
      </c>
      <c r="E219" s="19">
        <v>0</v>
      </c>
      <c r="F219" s="19"/>
      <c r="G219" s="19"/>
      <c r="H219" s="19"/>
      <c r="I219" s="19"/>
      <c r="J219" s="19"/>
      <c r="K219" s="19" t="s">
        <v>588</v>
      </c>
      <c r="L219" s="19"/>
      <c r="M219" s="19"/>
      <c r="N219" s="19" t="s">
        <v>73</v>
      </c>
      <c r="O219" s="28" t="s">
        <v>523</v>
      </c>
      <c r="P219" s="19"/>
      <c r="Q219" s="19"/>
      <c r="R219" s="19"/>
      <c r="S219" s="19"/>
      <c r="T219" s="19"/>
      <c r="U219" s="19"/>
      <c r="V219" s="19"/>
      <c r="W219" s="19"/>
      <c r="X219" s="19"/>
      <c r="Y219" s="19"/>
      <c r="Z219" s="19"/>
      <c r="AA219" s="19"/>
      <c r="AB219" s="19" t="s">
        <v>1745</v>
      </c>
      <c r="AC219" s="19"/>
      <c r="AD219" s="272"/>
      <c r="AE219" s="276"/>
      <c r="AF219" s="225"/>
      <c r="AG219" s="225"/>
      <c r="AH219" s="1"/>
    </row>
    <row r="220" spans="1:34" ht="11.25" hidden="1" customHeight="1" x14ac:dyDescent="0.2">
      <c r="A220" s="21">
        <v>188</v>
      </c>
      <c r="B220" s="19">
        <v>6</v>
      </c>
      <c r="C220" s="19">
        <v>37</v>
      </c>
      <c r="D220" s="19">
        <v>0</v>
      </c>
      <c r="E220" s="19">
        <v>0</v>
      </c>
      <c r="F220" s="19"/>
      <c r="G220" s="19"/>
      <c r="H220" s="19"/>
      <c r="I220" s="19"/>
      <c r="J220" s="19"/>
      <c r="K220" s="19" t="s">
        <v>588</v>
      </c>
      <c r="L220" s="19"/>
      <c r="M220" s="19"/>
      <c r="N220" s="19" t="s">
        <v>73</v>
      </c>
      <c r="O220" s="28" t="s">
        <v>523</v>
      </c>
      <c r="P220" s="19"/>
      <c r="Q220" s="19"/>
      <c r="R220" s="19"/>
      <c r="S220" s="19"/>
      <c r="T220" s="19"/>
      <c r="U220" s="19"/>
      <c r="V220" s="19"/>
      <c r="W220" s="19"/>
      <c r="X220" s="19"/>
      <c r="Y220" s="19"/>
      <c r="Z220" s="19"/>
      <c r="AA220" s="19"/>
      <c r="AB220" s="19" t="s">
        <v>1745</v>
      </c>
      <c r="AC220" s="19"/>
      <c r="AD220" s="272"/>
      <c r="AE220" s="276"/>
      <c r="AF220" s="225"/>
      <c r="AG220" s="225"/>
      <c r="AH220" s="1"/>
    </row>
    <row r="221" spans="1:34" ht="11.25" hidden="1" customHeight="1" x14ac:dyDescent="0.2">
      <c r="A221" s="21">
        <v>189</v>
      </c>
      <c r="B221" s="19">
        <v>6</v>
      </c>
      <c r="C221" s="19">
        <v>38</v>
      </c>
      <c r="D221" s="19">
        <v>0</v>
      </c>
      <c r="E221" s="19">
        <v>0</v>
      </c>
      <c r="F221" s="19"/>
      <c r="G221" s="19"/>
      <c r="H221" s="19"/>
      <c r="I221" s="19"/>
      <c r="J221" s="19"/>
      <c r="K221" s="19" t="s">
        <v>588</v>
      </c>
      <c r="L221" s="19"/>
      <c r="M221" s="19"/>
      <c r="N221" s="19" t="s">
        <v>73</v>
      </c>
      <c r="O221" s="28" t="s">
        <v>523</v>
      </c>
      <c r="P221" s="19"/>
      <c r="Q221" s="19"/>
      <c r="R221" s="19"/>
      <c r="S221" s="19"/>
      <c r="T221" s="19"/>
      <c r="U221" s="19"/>
      <c r="V221" s="19"/>
      <c r="W221" s="19"/>
      <c r="X221" s="19"/>
      <c r="Y221" s="19"/>
      <c r="Z221" s="19"/>
      <c r="AA221" s="19"/>
      <c r="AB221" s="19" t="s">
        <v>1745</v>
      </c>
      <c r="AC221" s="19"/>
      <c r="AD221" s="272"/>
      <c r="AE221" s="276"/>
      <c r="AF221" s="225"/>
      <c r="AG221" s="225"/>
      <c r="AH221" s="1"/>
    </row>
    <row r="222" spans="1:34" ht="11.25" hidden="1" customHeight="1" x14ac:dyDescent="0.2">
      <c r="A222" s="21">
        <v>190</v>
      </c>
      <c r="B222" s="19">
        <v>6</v>
      </c>
      <c r="C222" s="19">
        <v>39</v>
      </c>
      <c r="D222" s="19">
        <v>0</v>
      </c>
      <c r="E222" s="19">
        <v>0</v>
      </c>
      <c r="F222" s="19"/>
      <c r="G222" s="19"/>
      <c r="H222" s="19"/>
      <c r="I222" s="19"/>
      <c r="J222" s="19"/>
      <c r="K222" s="19" t="s">
        <v>588</v>
      </c>
      <c r="L222" s="19"/>
      <c r="M222" s="19"/>
      <c r="N222" s="19" t="s">
        <v>73</v>
      </c>
      <c r="O222" s="28" t="s">
        <v>523</v>
      </c>
      <c r="P222" s="19"/>
      <c r="Q222" s="19"/>
      <c r="R222" s="19"/>
      <c r="S222" s="19"/>
      <c r="T222" s="19"/>
      <c r="U222" s="19"/>
      <c r="V222" s="19"/>
      <c r="W222" s="19"/>
      <c r="X222" s="19"/>
      <c r="Y222" s="19"/>
      <c r="Z222" s="19"/>
      <c r="AA222" s="19"/>
      <c r="AB222" s="19" t="s">
        <v>1745</v>
      </c>
      <c r="AC222" s="19"/>
      <c r="AD222" s="272"/>
      <c r="AE222" s="276"/>
      <c r="AF222" s="225"/>
      <c r="AG222" s="225"/>
      <c r="AH222" s="1"/>
    </row>
    <row r="223" spans="1:34" ht="11.25" hidden="1" customHeight="1" x14ac:dyDescent="0.2">
      <c r="A223" s="21">
        <v>191</v>
      </c>
      <c r="B223" s="19">
        <v>6</v>
      </c>
      <c r="C223" s="19">
        <v>40</v>
      </c>
      <c r="D223" s="19">
        <v>0</v>
      </c>
      <c r="E223" s="19">
        <v>0</v>
      </c>
      <c r="F223" s="19"/>
      <c r="G223" s="19"/>
      <c r="H223" s="19"/>
      <c r="I223" s="19"/>
      <c r="J223" s="19"/>
      <c r="K223" s="19" t="s">
        <v>588</v>
      </c>
      <c r="L223" s="19"/>
      <c r="M223" s="19"/>
      <c r="N223" s="19" t="s">
        <v>73</v>
      </c>
      <c r="O223" s="28" t="s">
        <v>523</v>
      </c>
      <c r="P223" s="19"/>
      <c r="Q223" s="19"/>
      <c r="R223" s="19"/>
      <c r="S223" s="19"/>
      <c r="T223" s="19"/>
      <c r="U223" s="19"/>
      <c r="V223" s="19"/>
      <c r="W223" s="19"/>
      <c r="X223" s="19"/>
      <c r="Y223" s="19"/>
      <c r="Z223" s="19"/>
      <c r="AA223" s="19"/>
      <c r="AB223" s="19" t="s">
        <v>1745</v>
      </c>
      <c r="AC223" s="19"/>
      <c r="AD223" s="272"/>
      <c r="AE223" s="276"/>
      <c r="AF223" s="225"/>
      <c r="AG223" s="225"/>
      <c r="AH223" s="1"/>
    </row>
    <row r="224" spans="1:34" ht="11.25" hidden="1" customHeight="1" x14ac:dyDescent="0.2">
      <c r="A224" s="21">
        <v>192</v>
      </c>
      <c r="B224" s="19">
        <v>6</v>
      </c>
      <c r="C224" s="19">
        <v>41</v>
      </c>
      <c r="D224" s="19">
        <v>0</v>
      </c>
      <c r="E224" s="19">
        <v>0</v>
      </c>
      <c r="F224" s="19"/>
      <c r="G224" s="19"/>
      <c r="H224" s="19"/>
      <c r="I224" s="19"/>
      <c r="J224" s="19"/>
      <c r="K224" s="19" t="s">
        <v>588</v>
      </c>
      <c r="L224" s="19"/>
      <c r="M224" s="19"/>
      <c r="N224" s="19" t="s">
        <v>73</v>
      </c>
      <c r="O224" s="28" t="s">
        <v>523</v>
      </c>
      <c r="P224" s="19"/>
      <c r="Q224" s="19"/>
      <c r="R224" s="19"/>
      <c r="S224" s="19"/>
      <c r="T224" s="19"/>
      <c r="U224" s="19"/>
      <c r="V224" s="19"/>
      <c r="W224" s="19"/>
      <c r="X224" s="19"/>
      <c r="Y224" s="19"/>
      <c r="Z224" s="19"/>
      <c r="AA224" s="19"/>
      <c r="AB224" s="19" t="s">
        <v>1745</v>
      </c>
      <c r="AC224" s="19"/>
      <c r="AD224" s="272"/>
      <c r="AE224" s="276"/>
      <c r="AF224" s="225"/>
      <c r="AG224" s="225"/>
      <c r="AH224" s="1"/>
    </row>
    <row r="225" spans="1:34" ht="11.25" hidden="1" customHeight="1" x14ac:dyDescent="0.2">
      <c r="A225" s="21">
        <v>193</v>
      </c>
      <c r="B225" s="19">
        <v>6</v>
      </c>
      <c r="C225" s="19">
        <v>42</v>
      </c>
      <c r="D225" s="19">
        <v>0</v>
      </c>
      <c r="E225" s="19">
        <v>0</v>
      </c>
      <c r="F225" s="19"/>
      <c r="G225" s="19"/>
      <c r="H225" s="19"/>
      <c r="I225" s="19"/>
      <c r="J225" s="19"/>
      <c r="K225" s="19" t="s">
        <v>588</v>
      </c>
      <c r="L225" s="19"/>
      <c r="M225" s="19"/>
      <c r="N225" s="19" t="s">
        <v>73</v>
      </c>
      <c r="O225" s="28" t="s">
        <v>523</v>
      </c>
      <c r="P225" s="19"/>
      <c r="Q225" s="19"/>
      <c r="R225" s="19"/>
      <c r="S225" s="19"/>
      <c r="T225" s="19"/>
      <c r="U225" s="19"/>
      <c r="V225" s="19"/>
      <c r="W225" s="19"/>
      <c r="X225" s="19"/>
      <c r="Y225" s="19"/>
      <c r="Z225" s="19"/>
      <c r="AA225" s="19"/>
      <c r="AB225" s="19" t="s">
        <v>1745</v>
      </c>
      <c r="AC225" s="19"/>
      <c r="AD225" s="272"/>
      <c r="AE225" s="276"/>
      <c r="AF225" s="225"/>
      <c r="AG225" s="225"/>
      <c r="AH225" s="1"/>
    </row>
    <row r="226" spans="1:34" ht="11.25" hidden="1" customHeight="1" x14ac:dyDescent="0.2">
      <c r="A226" s="21">
        <v>194</v>
      </c>
      <c r="B226" s="19">
        <v>6</v>
      </c>
      <c r="C226" s="19">
        <v>43</v>
      </c>
      <c r="D226" s="19">
        <v>0</v>
      </c>
      <c r="E226" s="19">
        <v>0</v>
      </c>
      <c r="F226" s="19"/>
      <c r="G226" s="19"/>
      <c r="H226" s="19"/>
      <c r="I226" s="19"/>
      <c r="J226" s="19"/>
      <c r="K226" s="19" t="s">
        <v>588</v>
      </c>
      <c r="L226" s="19"/>
      <c r="M226" s="19"/>
      <c r="N226" s="19" t="s">
        <v>73</v>
      </c>
      <c r="O226" s="28" t="s">
        <v>523</v>
      </c>
      <c r="P226" s="19"/>
      <c r="Q226" s="19"/>
      <c r="R226" s="19"/>
      <c r="S226" s="19"/>
      <c r="T226" s="19"/>
      <c r="U226" s="19"/>
      <c r="V226" s="19"/>
      <c r="W226" s="19"/>
      <c r="X226" s="19"/>
      <c r="Y226" s="19"/>
      <c r="Z226" s="19"/>
      <c r="AA226" s="19"/>
      <c r="AB226" s="19" t="s">
        <v>1745</v>
      </c>
      <c r="AC226" s="19"/>
      <c r="AD226" s="272"/>
      <c r="AE226" s="276"/>
      <c r="AF226" s="225"/>
      <c r="AG226" s="225"/>
      <c r="AH226" s="1"/>
    </row>
    <row r="227" spans="1:34" ht="11.25" hidden="1" customHeight="1" x14ac:dyDescent="0.2">
      <c r="A227" s="21">
        <v>195</v>
      </c>
      <c r="B227" s="19">
        <v>6</v>
      </c>
      <c r="C227" s="19">
        <v>44</v>
      </c>
      <c r="D227" s="19">
        <v>0</v>
      </c>
      <c r="E227" s="19">
        <v>0</v>
      </c>
      <c r="F227" s="19"/>
      <c r="G227" s="19"/>
      <c r="H227" s="19"/>
      <c r="I227" s="19"/>
      <c r="J227" s="19"/>
      <c r="K227" s="19" t="s">
        <v>588</v>
      </c>
      <c r="L227" s="19"/>
      <c r="M227" s="19"/>
      <c r="N227" s="19" t="s">
        <v>73</v>
      </c>
      <c r="O227" s="28" t="s">
        <v>523</v>
      </c>
      <c r="P227" s="19"/>
      <c r="Q227" s="19"/>
      <c r="R227" s="19"/>
      <c r="S227" s="19"/>
      <c r="T227" s="19"/>
      <c r="U227" s="19"/>
      <c r="V227" s="19"/>
      <c r="W227" s="19"/>
      <c r="X227" s="19"/>
      <c r="Y227" s="19"/>
      <c r="Z227" s="19"/>
      <c r="AA227" s="19"/>
      <c r="AB227" s="19" t="s">
        <v>1745</v>
      </c>
      <c r="AC227" s="19"/>
      <c r="AD227" s="272"/>
      <c r="AE227" s="276"/>
      <c r="AF227" s="225"/>
      <c r="AG227" s="225"/>
      <c r="AH227" s="1"/>
    </row>
    <row r="228" spans="1:34" ht="11.25" hidden="1" customHeight="1" x14ac:dyDescent="0.2">
      <c r="A228" s="21">
        <v>196</v>
      </c>
      <c r="B228" s="19">
        <v>6</v>
      </c>
      <c r="C228" s="19">
        <v>45</v>
      </c>
      <c r="D228" s="19">
        <v>0</v>
      </c>
      <c r="E228" s="19">
        <v>0</v>
      </c>
      <c r="F228" s="19"/>
      <c r="G228" s="19"/>
      <c r="H228" s="19"/>
      <c r="I228" s="19"/>
      <c r="J228" s="19"/>
      <c r="K228" s="19" t="s">
        <v>588</v>
      </c>
      <c r="L228" s="19"/>
      <c r="M228" s="19"/>
      <c r="N228" s="19" t="s">
        <v>73</v>
      </c>
      <c r="O228" s="28" t="s">
        <v>523</v>
      </c>
      <c r="P228" s="19"/>
      <c r="Q228" s="19"/>
      <c r="R228" s="19"/>
      <c r="S228" s="19"/>
      <c r="T228" s="19"/>
      <c r="U228" s="19"/>
      <c r="V228" s="19"/>
      <c r="W228" s="19"/>
      <c r="X228" s="19"/>
      <c r="Y228" s="19"/>
      <c r="Z228" s="19"/>
      <c r="AA228" s="19"/>
      <c r="AB228" s="19" t="s">
        <v>1745</v>
      </c>
      <c r="AC228" s="19"/>
      <c r="AD228" s="272"/>
      <c r="AE228" s="276"/>
      <c r="AF228" s="225"/>
      <c r="AG228" s="225"/>
      <c r="AH228" s="1"/>
    </row>
    <row r="229" spans="1:34" ht="11.25" hidden="1" customHeight="1" x14ac:dyDescent="0.2">
      <c r="A229" s="21">
        <v>197</v>
      </c>
      <c r="B229" s="19">
        <v>6</v>
      </c>
      <c r="C229" s="19">
        <v>46</v>
      </c>
      <c r="D229" s="19">
        <v>0</v>
      </c>
      <c r="E229" s="19">
        <v>0</v>
      </c>
      <c r="F229" s="19"/>
      <c r="G229" s="19"/>
      <c r="H229" s="19"/>
      <c r="I229" s="19"/>
      <c r="J229" s="19"/>
      <c r="K229" s="19" t="s">
        <v>588</v>
      </c>
      <c r="L229" s="19"/>
      <c r="M229" s="19"/>
      <c r="N229" s="19" t="s">
        <v>73</v>
      </c>
      <c r="O229" s="28" t="s">
        <v>523</v>
      </c>
      <c r="P229" s="19"/>
      <c r="Q229" s="19"/>
      <c r="R229" s="19"/>
      <c r="S229" s="19"/>
      <c r="T229" s="19"/>
      <c r="U229" s="19"/>
      <c r="V229" s="19"/>
      <c r="W229" s="19"/>
      <c r="X229" s="19"/>
      <c r="Y229" s="19"/>
      <c r="Z229" s="19"/>
      <c r="AA229" s="19"/>
      <c r="AB229" s="19" t="s">
        <v>1745</v>
      </c>
      <c r="AC229" s="19"/>
      <c r="AD229" s="272"/>
      <c r="AE229" s="276"/>
      <c r="AF229" s="225"/>
      <c r="AG229" s="225"/>
      <c r="AH229" s="1"/>
    </row>
    <row r="230" spans="1:34" ht="11.25" hidden="1" customHeight="1" x14ac:dyDescent="0.2">
      <c r="A230" s="21">
        <v>198</v>
      </c>
      <c r="B230" s="19">
        <v>6</v>
      </c>
      <c r="C230" s="19">
        <v>47</v>
      </c>
      <c r="D230" s="19">
        <v>0</v>
      </c>
      <c r="E230" s="19">
        <v>0</v>
      </c>
      <c r="F230" s="19"/>
      <c r="G230" s="19"/>
      <c r="H230" s="19"/>
      <c r="I230" s="19"/>
      <c r="J230" s="19"/>
      <c r="K230" s="19" t="s">
        <v>588</v>
      </c>
      <c r="L230" s="19"/>
      <c r="M230" s="19"/>
      <c r="N230" s="19" t="s">
        <v>73</v>
      </c>
      <c r="O230" s="28" t="s">
        <v>523</v>
      </c>
      <c r="P230" s="19"/>
      <c r="Q230" s="19"/>
      <c r="R230" s="19"/>
      <c r="S230" s="19"/>
      <c r="T230" s="19"/>
      <c r="U230" s="19"/>
      <c r="V230" s="19"/>
      <c r="W230" s="19"/>
      <c r="X230" s="19"/>
      <c r="Y230" s="19"/>
      <c r="Z230" s="19"/>
      <c r="AA230" s="19"/>
      <c r="AB230" s="19" t="s">
        <v>1745</v>
      </c>
      <c r="AC230" s="19"/>
      <c r="AD230" s="272"/>
      <c r="AE230" s="276"/>
      <c r="AF230" s="225"/>
      <c r="AG230" s="225"/>
      <c r="AH230" s="1"/>
    </row>
    <row r="231" spans="1:34" ht="11.25" hidden="1" customHeight="1" x14ac:dyDescent="0.2">
      <c r="A231" s="21">
        <v>199</v>
      </c>
      <c r="B231" s="19">
        <v>6</v>
      </c>
      <c r="C231" s="19">
        <v>48</v>
      </c>
      <c r="D231" s="19">
        <v>0</v>
      </c>
      <c r="E231" s="19">
        <v>0</v>
      </c>
      <c r="F231" s="19"/>
      <c r="G231" s="19"/>
      <c r="H231" s="19"/>
      <c r="I231" s="19"/>
      <c r="J231" s="19"/>
      <c r="K231" s="19" t="s">
        <v>588</v>
      </c>
      <c r="L231" s="19"/>
      <c r="M231" s="19"/>
      <c r="N231" s="19" t="s">
        <v>73</v>
      </c>
      <c r="O231" s="28" t="s">
        <v>523</v>
      </c>
      <c r="P231" s="19"/>
      <c r="Q231" s="19"/>
      <c r="R231" s="19"/>
      <c r="S231" s="19"/>
      <c r="T231" s="19"/>
      <c r="U231" s="19"/>
      <c r="V231" s="19"/>
      <c r="W231" s="19"/>
      <c r="X231" s="19"/>
      <c r="Y231" s="19"/>
      <c r="Z231" s="19"/>
      <c r="AA231" s="19"/>
      <c r="AB231" s="19" t="s">
        <v>1745</v>
      </c>
      <c r="AC231" s="19"/>
      <c r="AD231" s="272"/>
      <c r="AE231" s="276"/>
      <c r="AF231" s="225"/>
      <c r="AG231" s="225"/>
      <c r="AH231" s="1"/>
    </row>
    <row r="232" spans="1:34" ht="11.25" hidden="1" customHeight="1" x14ac:dyDescent="0.2">
      <c r="A232" s="21">
        <v>200</v>
      </c>
      <c r="B232" s="19">
        <v>6</v>
      </c>
      <c r="C232" s="19">
        <v>49</v>
      </c>
      <c r="D232" s="19">
        <v>0</v>
      </c>
      <c r="E232" s="19">
        <v>0</v>
      </c>
      <c r="F232" s="19"/>
      <c r="G232" s="19"/>
      <c r="H232" s="19"/>
      <c r="I232" s="19"/>
      <c r="J232" s="19"/>
      <c r="K232" s="19" t="s">
        <v>588</v>
      </c>
      <c r="L232" s="19"/>
      <c r="M232" s="19"/>
      <c r="N232" s="19" t="s">
        <v>73</v>
      </c>
      <c r="O232" s="28" t="s">
        <v>523</v>
      </c>
      <c r="P232" s="19"/>
      <c r="Q232" s="19"/>
      <c r="R232" s="19"/>
      <c r="S232" s="19"/>
      <c r="T232" s="19"/>
      <c r="U232" s="19"/>
      <c r="V232" s="19"/>
      <c r="W232" s="19"/>
      <c r="X232" s="19"/>
      <c r="Y232" s="19"/>
      <c r="Z232" s="19"/>
      <c r="AA232" s="19"/>
      <c r="AB232" s="19" t="s">
        <v>1745</v>
      </c>
      <c r="AC232" s="19"/>
      <c r="AD232" s="272"/>
      <c r="AE232" s="276"/>
      <c r="AF232" s="225"/>
      <c r="AG232" s="225"/>
      <c r="AH232" s="1"/>
    </row>
    <row r="233" spans="1:34" ht="11.25" hidden="1" customHeight="1" thickBot="1" x14ac:dyDescent="0.25">
      <c r="A233" s="21">
        <v>201</v>
      </c>
      <c r="B233" s="19">
        <v>6</v>
      </c>
      <c r="C233" s="19">
        <v>50</v>
      </c>
      <c r="D233" s="19">
        <v>0</v>
      </c>
      <c r="E233" s="19">
        <v>0</v>
      </c>
      <c r="F233" s="19"/>
      <c r="G233" s="19"/>
      <c r="H233" s="19"/>
      <c r="I233" s="19"/>
      <c r="J233" s="19"/>
      <c r="K233" s="19" t="s">
        <v>588</v>
      </c>
      <c r="L233" s="19"/>
      <c r="M233" s="19"/>
      <c r="N233" s="19" t="s">
        <v>73</v>
      </c>
      <c r="O233" s="28" t="s">
        <v>523</v>
      </c>
      <c r="P233" s="19"/>
      <c r="Q233" s="19"/>
      <c r="R233" s="19"/>
      <c r="S233" s="19"/>
      <c r="T233" s="19"/>
      <c r="U233" s="19"/>
      <c r="V233" s="19"/>
      <c r="W233" s="19"/>
      <c r="X233" s="19"/>
      <c r="Y233" s="19"/>
      <c r="Z233" s="19"/>
      <c r="AA233" s="19"/>
      <c r="AB233" s="19" t="s">
        <v>1745</v>
      </c>
      <c r="AC233" s="19"/>
      <c r="AD233" s="273"/>
      <c r="AE233" s="277"/>
      <c r="AF233" s="231"/>
      <c r="AG233" s="231"/>
      <c r="AH233" s="1"/>
    </row>
    <row r="234" spans="1:34" x14ac:dyDescent="0.2">
      <c r="AF234" s="230"/>
      <c r="AG234" s="230"/>
      <c r="AH234" s="1"/>
    </row>
    <row r="235" spans="1:34" x14ac:dyDescent="0.2">
      <c r="AF235" s="230"/>
      <c r="AG235" s="230"/>
      <c r="AH235" s="1"/>
    </row>
    <row r="236" spans="1:34" x14ac:dyDescent="0.2">
      <c r="AF236" s="230"/>
      <c r="AG236" s="230"/>
      <c r="AH236" s="1"/>
    </row>
    <row r="237" spans="1:34" x14ac:dyDescent="0.2">
      <c r="AF237" s="230"/>
      <c r="AG237" s="230"/>
      <c r="AH237" s="1"/>
    </row>
    <row r="238" spans="1:34" x14ac:dyDescent="0.2">
      <c r="AF238" s="230"/>
      <c r="AG238" s="230"/>
      <c r="AH238" s="1"/>
    </row>
    <row r="239" spans="1:34" x14ac:dyDescent="0.2">
      <c r="AF239" s="230"/>
      <c r="AG239" s="230"/>
      <c r="AH239" s="1"/>
    </row>
    <row r="240" spans="1:34" x14ac:dyDescent="0.2">
      <c r="AF240" s="230"/>
      <c r="AG240" s="230"/>
      <c r="AH240" s="1"/>
    </row>
    <row r="241" spans="32:34" x14ac:dyDescent="0.2">
      <c r="AF241" s="230"/>
      <c r="AG241" s="230"/>
      <c r="AH241" s="1"/>
    </row>
    <row r="242" spans="32:34" x14ac:dyDescent="0.2">
      <c r="AF242" s="230"/>
      <c r="AG242" s="230"/>
      <c r="AH242" s="1"/>
    </row>
    <row r="243" spans="32:34" x14ac:dyDescent="0.2">
      <c r="AF243" s="230"/>
      <c r="AG243" s="230"/>
      <c r="AH243" s="1"/>
    </row>
    <row r="244" spans="32:34" x14ac:dyDescent="0.2">
      <c r="AF244" s="230"/>
      <c r="AG244" s="230"/>
      <c r="AH244" s="1"/>
    </row>
    <row r="245" spans="32:34" x14ac:dyDescent="0.2">
      <c r="AF245" s="230"/>
      <c r="AG245" s="230"/>
      <c r="AH245" s="1"/>
    </row>
    <row r="246" spans="32:34" x14ac:dyDescent="0.2">
      <c r="AF246" s="230"/>
      <c r="AG246" s="230"/>
      <c r="AH246" s="1"/>
    </row>
    <row r="247" spans="32:34" x14ac:dyDescent="0.2">
      <c r="AF247" s="230"/>
      <c r="AG247" s="230"/>
      <c r="AH247" s="1"/>
    </row>
    <row r="248" spans="32:34" x14ac:dyDescent="0.2">
      <c r="AF248" s="230"/>
      <c r="AG248" s="230"/>
      <c r="AH248" s="1"/>
    </row>
    <row r="249" spans="32:34" x14ac:dyDescent="0.2">
      <c r="AF249" s="230"/>
      <c r="AG249" s="230"/>
      <c r="AH249" s="1"/>
    </row>
    <row r="250" spans="32:34" x14ac:dyDescent="0.2">
      <c r="AF250" s="230"/>
      <c r="AG250" s="230"/>
      <c r="AH250" s="1"/>
    </row>
    <row r="251" spans="32:34" x14ac:dyDescent="0.2">
      <c r="AF251" s="230"/>
      <c r="AG251" s="230"/>
      <c r="AH251" s="1"/>
    </row>
    <row r="252" spans="32:34" x14ac:dyDescent="0.2">
      <c r="AF252" s="230"/>
      <c r="AG252" s="230"/>
      <c r="AH252" s="1"/>
    </row>
    <row r="253" spans="32:34" x14ac:dyDescent="0.2">
      <c r="AF253" s="230"/>
      <c r="AG253" s="230"/>
      <c r="AH253" s="1"/>
    </row>
    <row r="254" spans="32:34" x14ac:dyDescent="0.2">
      <c r="AF254" s="230"/>
      <c r="AG254" s="230"/>
      <c r="AH254" s="1"/>
    </row>
    <row r="255" spans="32:34" x14ac:dyDescent="0.2">
      <c r="AF255" s="230"/>
      <c r="AG255" s="230"/>
      <c r="AH255" s="1"/>
    </row>
    <row r="256" spans="32:34" x14ac:dyDescent="0.2">
      <c r="AF256" s="230"/>
      <c r="AG256" s="230"/>
      <c r="AH256" s="1"/>
    </row>
    <row r="257" spans="32:34" x14ac:dyDescent="0.2">
      <c r="AF257" s="230"/>
      <c r="AG257" s="230"/>
      <c r="AH257" s="1"/>
    </row>
    <row r="258" spans="32:34" x14ac:dyDescent="0.2">
      <c r="AF258" s="230"/>
      <c r="AG258" s="230"/>
      <c r="AH258" s="1"/>
    </row>
    <row r="259" spans="32:34" x14ac:dyDescent="0.2">
      <c r="AF259" s="230"/>
      <c r="AG259" s="230"/>
      <c r="AH259" s="1"/>
    </row>
    <row r="260" spans="32:34" x14ac:dyDescent="0.2">
      <c r="AF260" s="230"/>
      <c r="AG260" s="230"/>
      <c r="AH260" s="1"/>
    </row>
    <row r="261" spans="32:34" x14ac:dyDescent="0.2">
      <c r="AF261" s="230"/>
      <c r="AG261" s="230"/>
      <c r="AH261" s="1"/>
    </row>
    <row r="262" spans="32:34" x14ac:dyDescent="0.2">
      <c r="AF262" s="230"/>
      <c r="AG262" s="230"/>
      <c r="AH262" s="1"/>
    </row>
    <row r="263" spans="32:34" x14ac:dyDescent="0.2">
      <c r="AF263" s="230"/>
      <c r="AG263" s="230"/>
      <c r="AH263" s="1"/>
    </row>
    <row r="264" spans="32:34" x14ac:dyDescent="0.2">
      <c r="AF264" s="230"/>
      <c r="AG264" s="230"/>
      <c r="AH264" s="1"/>
    </row>
    <row r="265" spans="32:34" x14ac:dyDescent="0.2">
      <c r="AF265" s="230"/>
      <c r="AG265" s="230"/>
      <c r="AH265" s="1"/>
    </row>
    <row r="266" spans="32:34" x14ac:dyDescent="0.2">
      <c r="AF266" s="230"/>
      <c r="AG266" s="230"/>
      <c r="AH266" s="1"/>
    </row>
    <row r="267" spans="32:34" x14ac:dyDescent="0.2">
      <c r="AF267" s="230"/>
      <c r="AG267" s="230"/>
      <c r="AH267" s="1"/>
    </row>
    <row r="268" spans="32:34" x14ac:dyDescent="0.2">
      <c r="AF268" s="230"/>
      <c r="AG268" s="230"/>
      <c r="AH268" s="1"/>
    </row>
    <row r="269" spans="32:34" x14ac:dyDescent="0.2">
      <c r="AF269" s="230"/>
      <c r="AG269" s="230"/>
      <c r="AH269" s="1"/>
    </row>
    <row r="270" spans="32:34" x14ac:dyDescent="0.2">
      <c r="AF270" s="230"/>
      <c r="AG270" s="230"/>
      <c r="AH270" s="1"/>
    </row>
    <row r="271" spans="32:34" x14ac:dyDescent="0.2">
      <c r="AF271" s="230"/>
      <c r="AG271" s="230"/>
      <c r="AH271" s="1"/>
    </row>
    <row r="272" spans="32:34" x14ac:dyDescent="0.2">
      <c r="AF272" s="230"/>
      <c r="AG272" s="230"/>
      <c r="AH272" s="1"/>
    </row>
    <row r="273" spans="32:34" x14ac:dyDescent="0.2">
      <c r="AF273" s="230"/>
      <c r="AG273" s="230"/>
      <c r="AH273" s="1"/>
    </row>
    <row r="274" spans="32:34" x14ac:dyDescent="0.2">
      <c r="AF274" s="230"/>
      <c r="AG274" s="230"/>
      <c r="AH274" s="1"/>
    </row>
    <row r="275" spans="32:34" x14ac:dyDescent="0.2">
      <c r="AF275" s="230"/>
      <c r="AG275" s="230"/>
      <c r="AH275" s="1"/>
    </row>
    <row r="276" spans="32:34" x14ac:dyDescent="0.2">
      <c r="AF276" s="230"/>
      <c r="AG276" s="230"/>
      <c r="AH276" s="1"/>
    </row>
    <row r="277" spans="32:34" x14ac:dyDescent="0.2">
      <c r="AF277" s="230"/>
      <c r="AG277" s="230"/>
      <c r="AH277" s="1"/>
    </row>
    <row r="278" spans="32:34" x14ac:dyDescent="0.2">
      <c r="AF278" s="230"/>
      <c r="AG278" s="230"/>
      <c r="AH278" s="1"/>
    </row>
    <row r="279" spans="32:34" x14ac:dyDescent="0.2">
      <c r="AF279" s="230"/>
      <c r="AG279" s="230"/>
      <c r="AH279" s="1"/>
    </row>
    <row r="280" spans="32:34" x14ac:dyDescent="0.2">
      <c r="AF280" s="230"/>
      <c r="AG280" s="230"/>
      <c r="AH280" s="1"/>
    </row>
    <row r="281" spans="32:34" x14ac:dyDescent="0.2">
      <c r="AF281" s="230"/>
      <c r="AG281" s="230"/>
      <c r="AH281" s="1"/>
    </row>
    <row r="282" spans="32:34" x14ac:dyDescent="0.2">
      <c r="AF282" s="230"/>
      <c r="AG282" s="230"/>
      <c r="AH282" s="1"/>
    </row>
    <row r="283" spans="32:34" x14ac:dyDescent="0.2">
      <c r="AF283" s="230"/>
      <c r="AG283" s="230"/>
      <c r="AH283" s="1"/>
    </row>
    <row r="284" spans="32:34" x14ac:dyDescent="0.2">
      <c r="AF284" s="230"/>
      <c r="AG284" s="230"/>
      <c r="AH284" s="1"/>
    </row>
    <row r="285" spans="32:34" x14ac:dyDescent="0.2">
      <c r="AF285" s="230"/>
      <c r="AG285" s="230"/>
      <c r="AH285" s="1"/>
    </row>
    <row r="286" spans="32:34" x14ac:dyDescent="0.2">
      <c r="AF286" s="230"/>
      <c r="AG286" s="230"/>
      <c r="AH286" s="1"/>
    </row>
    <row r="287" spans="32:34" x14ac:dyDescent="0.2">
      <c r="AF287" s="230"/>
      <c r="AG287" s="230"/>
      <c r="AH287" s="1"/>
    </row>
    <row r="288" spans="32:34" x14ac:dyDescent="0.2">
      <c r="AF288" s="230"/>
      <c r="AG288" s="230"/>
      <c r="AH288" s="1"/>
    </row>
    <row r="289" spans="32:34" x14ac:dyDescent="0.2">
      <c r="AF289" s="230"/>
      <c r="AG289" s="230"/>
      <c r="AH289" s="1"/>
    </row>
    <row r="290" spans="32:34" x14ac:dyDescent="0.2">
      <c r="AF290" s="230"/>
      <c r="AG290" s="230"/>
      <c r="AH290" s="1"/>
    </row>
    <row r="291" spans="32:34" x14ac:dyDescent="0.2">
      <c r="AF291" s="230"/>
      <c r="AG291" s="230"/>
      <c r="AH291" s="1"/>
    </row>
    <row r="292" spans="32:34" x14ac:dyDescent="0.2">
      <c r="AF292" s="230"/>
      <c r="AG292" s="230"/>
      <c r="AH292" s="1"/>
    </row>
    <row r="293" spans="32:34" x14ac:dyDescent="0.2">
      <c r="AF293" s="230"/>
      <c r="AG293" s="230"/>
      <c r="AH293" s="1"/>
    </row>
    <row r="294" spans="32:34" x14ac:dyDescent="0.2">
      <c r="AF294" s="230"/>
      <c r="AG294" s="230"/>
      <c r="AH294" s="1"/>
    </row>
    <row r="295" spans="32:34" x14ac:dyDescent="0.2">
      <c r="AF295" s="230"/>
      <c r="AG295" s="230"/>
      <c r="AH295" s="1"/>
    </row>
    <row r="296" spans="32:34" x14ac:dyDescent="0.2">
      <c r="AF296" s="230"/>
      <c r="AG296" s="230"/>
      <c r="AH296" s="1"/>
    </row>
    <row r="297" spans="32:34" x14ac:dyDescent="0.2">
      <c r="AF297" s="230"/>
      <c r="AG297" s="230"/>
      <c r="AH297" s="1"/>
    </row>
    <row r="298" spans="32:34" x14ac:dyDescent="0.2">
      <c r="AF298" s="230"/>
      <c r="AG298" s="230"/>
      <c r="AH298" s="1"/>
    </row>
    <row r="299" spans="32:34" x14ac:dyDescent="0.2">
      <c r="AF299" s="230"/>
      <c r="AG299" s="230"/>
      <c r="AH299" s="1"/>
    </row>
    <row r="300" spans="32:34" x14ac:dyDescent="0.2">
      <c r="AF300" s="230"/>
      <c r="AG300" s="230"/>
      <c r="AH300" s="1"/>
    </row>
    <row r="301" spans="32:34" x14ac:dyDescent="0.2">
      <c r="AF301" s="230"/>
      <c r="AG301" s="230"/>
      <c r="AH301" s="1"/>
    </row>
    <row r="302" spans="32:34" x14ac:dyDescent="0.2">
      <c r="AF302" s="230"/>
      <c r="AG302" s="230"/>
      <c r="AH302" s="1"/>
    </row>
    <row r="303" spans="32:34" x14ac:dyDescent="0.2">
      <c r="AF303" s="230"/>
      <c r="AG303" s="230"/>
      <c r="AH303" s="1"/>
    </row>
    <row r="304" spans="32:34" x14ac:dyDescent="0.2">
      <c r="AF304" s="230"/>
      <c r="AG304" s="230"/>
      <c r="AH304" s="1"/>
    </row>
    <row r="305" spans="32:34" x14ac:dyDescent="0.2">
      <c r="AF305" s="230"/>
      <c r="AG305" s="230"/>
      <c r="AH305" s="1"/>
    </row>
    <row r="306" spans="32:34" x14ac:dyDescent="0.2">
      <c r="AF306" s="230"/>
      <c r="AG306" s="230"/>
      <c r="AH306" s="1"/>
    </row>
    <row r="307" spans="32:34" x14ac:dyDescent="0.2">
      <c r="AF307" s="230"/>
      <c r="AG307" s="230"/>
      <c r="AH307" s="1"/>
    </row>
    <row r="308" spans="32:34" x14ac:dyDescent="0.2">
      <c r="AF308" s="230"/>
      <c r="AG308" s="230"/>
      <c r="AH308" s="1"/>
    </row>
    <row r="309" spans="32:34" x14ac:dyDescent="0.2">
      <c r="AF309" s="230"/>
      <c r="AG309" s="230"/>
      <c r="AH309" s="1"/>
    </row>
    <row r="310" spans="32:34" x14ac:dyDescent="0.2">
      <c r="AF310" s="230"/>
      <c r="AG310" s="230"/>
      <c r="AH310" s="1"/>
    </row>
    <row r="311" spans="32:34" x14ac:dyDescent="0.2">
      <c r="AF311" s="230"/>
      <c r="AG311" s="230"/>
      <c r="AH311" s="1"/>
    </row>
    <row r="312" spans="32:34" x14ac:dyDescent="0.2">
      <c r="AF312" s="230"/>
      <c r="AG312" s="230"/>
      <c r="AH312" s="1"/>
    </row>
    <row r="313" spans="32:34" x14ac:dyDescent="0.2">
      <c r="AF313" s="230"/>
      <c r="AG313" s="230"/>
      <c r="AH313" s="1"/>
    </row>
    <row r="314" spans="32:34" x14ac:dyDescent="0.2">
      <c r="AF314" s="230"/>
      <c r="AG314" s="230"/>
      <c r="AH314" s="1"/>
    </row>
    <row r="315" spans="32:34" x14ac:dyDescent="0.2">
      <c r="AF315" s="230"/>
      <c r="AG315" s="230"/>
      <c r="AH315" s="1"/>
    </row>
    <row r="316" spans="32:34" x14ac:dyDescent="0.2">
      <c r="AF316" s="230"/>
      <c r="AG316" s="230"/>
      <c r="AH316" s="1"/>
    </row>
    <row r="317" spans="32:34" x14ac:dyDescent="0.2">
      <c r="AF317" s="230"/>
      <c r="AG317" s="230"/>
      <c r="AH317" s="1"/>
    </row>
    <row r="318" spans="32:34" x14ac:dyDescent="0.2">
      <c r="AF318" s="230"/>
      <c r="AG318" s="230"/>
      <c r="AH318" s="1"/>
    </row>
    <row r="319" spans="32:34" x14ac:dyDescent="0.2">
      <c r="AF319" s="230"/>
      <c r="AG319" s="230"/>
      <c r="AH319" s="1"/>
    </row>
    <row r="320" spans="32:34" x14ac:dyDescent="0.2">
      <c r="AF320" s="230"/>
      <c r="AG320" s="230"/>
      <c r="AH320" s="1"/>
    </row>
    <row r="321" spans="32:34" x14ac:dyDescent="0.2">
      <c r="AF321" s="230"/>
      <c r="AG321" s="230"/>
      <c r="AH321" s="1"/>
    </row>
    <row r="322" spans="32:34" x14ac:dyDescent="0.2">
      <c r="AF322" s="230"/>
      <c r="AG322" s="230"/>
      <c r="AH322" s="1"/>
    </row>
    <row r="323" spans="32:34" x14ac:dyDescent="0.2">
      <c r="AF323" s="230"/>
      <c r="AG323" s="230"/>
      <c r="AH323" s="1"/>
    </row>
    <row r="324" spans="32:34" x14ac:dyDescent="0.2">
      <c r="AF324" s="230"/>
      <c r="AG324" s="230"/>
      <c r="AH324" s="1"/>
    </row>
    <row r="325" spans="32:34" x14ac:dyDescent="0.2">
      <c r="AF325" s="230"/>
      <c r="AG325" s="230"/>
      <c r="AH325" s="1"/>
    </row>
    <row r="326" spans="32:34" x14ac:dyDescent="0.2">
      <c r="AF326" s="230"/>
      <c r="AG326" s="230"/>
      <c r="AH326" s="1"/>
    </row>
    <row r="327" spans="32:34" x14ac:dyDescent="0.2">
      <c r="AF327" s="230"/>
      <c r="AG327" s="230"/>
      <c r="AH327" s="1"/>
    </row>
    <row r="328" spans="32:34" x14ac:dyDescent="0.2">
      <c r="AF328" s="230"/>
      <c r="AG328" s="230"/>
      <c r="AH328" s="1"/>
    </row>
    <row r="329" spans="32:34" x14ac:dyDescent="0.2">
      <c r="AF329" s="230"/>
      <c r="AG329" s="230"/>
      <c r="AH329" s="1"/>
    </row>
    <row r="330" spans="32:34" x14ac:dyDescent="0.2">
      <c r="AF330" s="230"/>
      <c r="AG330" s="230"/>
      <c r="AH330" s="1"/>
    </row>
    <row r="331" spans="32:34" x14ac:dyDescent="0.2">
      <c r="AF331" s="230"/>
      <c r="AG331" s="230"/>
      <c r="AH331" s="1"/>
    </row>
    <row r="332" spans="32:34" x14ac:dyDescent="0.2">
      <c r="AF332" s="230"/>
      <c r="AG332" s="230"/>
      <c r="AH332" s="1"/>
    </row>
    <row r="333" spans="32:34" x14ac:dyDescent="0.2">
      <c r="AF333" s="230"/>
      <c r="AG333" s="230"/>
      <c r="AH333" s="1"/>
    </row>
    <row r="334" spans="32:34" x14ac:dyDescent="0.2">
      <c r="AF334" s="230"/>
      <c r="AG334" s="230"/>
      <c r="AH334" s="1"/>
    </row>
    <row r="335" spans="32:34" x14ac:dyDescent="0.2">
      <c r="AF335" s="230"/>
      <c r="AG335" s="230"/>
      <c r="AH335" s="1"/>
    </row>
    <row r="336" spans="32:34" x14ac:dyDescent="0.2">
      <c r="AF336" s="230"/>
      <c r="AG336" s="230"/>
      <c r="AH336" s="1"/>
    </row>
    <row r="337" spans="32:34" x14ac:dyDescent="0.2">
      <c r="AF337" s="230"/>
      <c r="AG337" s="230"/>
      <c r="AH337" s="1"/>
    </row>
    <row r="338" spans="32:34" x14ac:dyDescent="0.2">
      <c r="AF338" s="230"/>
      <c r="AG338" s="230"/>
      <c r="AH338" s="1"/>
    </row>
    <row r="339" spans="32:34" x14ac:dyDescent="0.2">
      <c r="AF339" s="230"/>
      <c r="AG339" s="230"/>
      <c r="AH339" s="1"/>
    </row>
    <row r="340" spans="32:34" x14ac:dyDescent="0.2">
      <c r="AF340" s="230"/>
      <c r="AG340" s="230"/>
      <c r="AH340" s="1"/>
    </row>
    <row r="341" spans="32:34" x14ac:dyDescent="0.2">
      <c r="AF341" s="230"/>
      <c r="AG341" s="230"/>
      <c r="AH341" s="1"/>
    </row>
    <row r="648" spans="1:29" ht="12" thickBot="1" x14ac:dyDescent="0.25"/>
    <row r="649" spans="1:29" ht="12" thickBot="1" x14ac:dyDescent="0.25">
      <c r="A649" s="30" t="s">
        <v>104</v>
      </c>
      <c r="B649" s="31"/>
      <c r="C649" s="31"/>
      <c r="D649" s="31"/>
      <c r="E649" s="36"/>
      <c r="F649" s="36"/>
      <c r="G649" s="36"/>
      <c r="H649" s="36"/>
      <c r="I649" s="36"/>
      <c r="J649" s="36"/>
      <c r="K649" s="36"/>
      <c r="L649" s="36"/>
      <c r="M649" s="36"/>
      <c r="N649" s="36"/>
      <c r="O649" s="36"/>
      <c r="P649" s="36"/>
      <c r="Q649" s="36"/>
      <c r="R649" s="36"/>
      <c r="S649" s="31"/>
      <c r="T649" s="31"/>
      <c r="U649" s="36"/>
      <c r="V649" s="36"/>
      <c r="W649" s="36"/>
      <c r="X649" s="31"/>
      <c r="Y649" s="36"/>
      <c r="Z649" s="36"/>
      <c r="AA649" s="31"/>
      <c r="AB649" s="31"/>
      <c r="AC649" s="32"/>
    </row>
    <row r="650" spans="1:29" ht="12.75" x14ac:dyDescent="0.2">
      <c r="A650" s="11" t="s">
        <v>205</v>
      </c>
      <c r="B650" s="11" t="s">
        <v>209</v>
      </c>
      <c r="E650" s="226" t="s">
        <v>164</v>
      </c>
      <c r="F650" s="227"/>
      <c r="G650" s="226" t="s">
        <v>145</v>
      </c>
      <c r="H650" s="227"/>
      <c r="I650" s="226" t="s">
        <v>612</v>
      </c>
      <c r="J650" s="227"/>
      <c r="K650" s="226" t="s">
        <v>613</v>
      </c>
      <c r="L650" s="227"/>
      <c r="M650" s="226" t="s">
        <v>614</v>
      </c>
      <c r="N650" s="227"/>
      <c r="O650" s="226" t="s">
        <v>203</v>
      </c>
      <c r="P650" s="227"/>
      <c r="Q650" s="226" t="s">
        <v>148</v>
      </c>
      <c r="R650" s="226"/>
      <c r="S650" s="226" t="s">
        <v>147</v>
      </c>
      <c r="T650" s="226"/>
      <c r="U650" s="235" t="s">
        <v>261</v>
      </c>
      <c r="V650" s="236"/>
      <c r="W650" s="237"/>
      <c r="Y650" s="228" t="s">
        <v>1660</v>
      </c>
      <c r="Z650" s="229"/>
    </row>
    <row r="651" spans="1:29" x14ac:dyDescent="0.2">
      <c r="A651" s="29" t="s">
        <v>73</v>
      </c>
      <c r="B651" s="29" t="s">
        <v>584</v>
      </c>
      <c r="E651" s="8" t="s">
        <v>164</v>
      </c>
      <c r="F651" s="8" t="s">
        <v>620</v>
      </c>
      <c r="G651" s="8" t="s">
        <v>619</v>
      </c>
      <c r="H651" s="8" t="s">
        <v>620</v>
      </c>
      <c r="I651" s="8" t="s">
        <v>619</v>
      </c>
      <c r="J651" s="8" t="s">
        <v>620</v>
      </c>
      <c r="K651" s="8" t="s">
        <v>619</v>
      </c>
      <c r="L651" s="8" t="s">
        <v>620</v>
      </c>
      <c r="M651" s="8" t="s">
        <v>619</v>
      </c>
      <c r="N651" s="8" t="s">
        <v>620</v>
      </c>
      <c r="O651" s="8" t="s">
        <v>619</v>
      </c>
      <c r="P651" s="8" t="s">
        <v>620</v>
      </c>
      <c r="Q651" s="8" t="s">
        <v>619</v>
      </c>
      <c r="R651" s="8" t="s">
        <v>620</v>
      </c>
      <c r="S651" s="8" t="s">
        <v>266</v>
      </c>
      <c r="T651" s="8" t="s">
        <v>267</v>
      </c>
      <c r="U651" s="37" t="s">
        <v>266</v>
      </c>
      <c r="V651" s="37" t="s">
        <v>248</v>
      </c>
      <c r="W651" s="8" t="s">
        <v>306</v>
      </c>
      <c r="Y651" s="8" t="s">
        <v>619</v>
      </c>
      <c r="Z651" s="8" t="s">
        <v>620</v>
      </c>
    </row>
    <row r="652" spans="1:29" x14ac:dyDescent="0.2">
      <c r="A652" s="29" t="s">
        <v>86</v>
      </c>
      <c r="B652" s="29" t="s">
        <v>585</v>
      </c>
      <c r="E652" s="29" t="s">
        <v>2957</v>
      </c>
      <c r="F652" s="29" t="s">
        <v>2958</v>
      </c>
      <c r="G652" s="29" t="s">
        <v>807</v>
      </c>
      <c r="H652" s="29" t="s">
        <v>218</v>
      </c>
      <c r="I652" s="29" t="s">
        <v>807</v>
      </c>
      <c r="J652" s="29" t="s">
        <v>218</v>
      </c>
      <c r="K652" s="29" t="s">
        <v>813</v>
      </c>
      <c r="L652" s="29" t="s">
        <v>218</v>
      </c>
      <c r="M652" s="29" t="s">
        <v>820</v>
      </c>
      <c r="N652" s="29" t="s">
        <v>225</v>
      </c>
      <c r="O652" s="29" t="s">
        <v>832</v>
      </c>
      <c r="P652" s="38" t="s">
        <v>94</v>
      </c>
      <c r="Q652" s="29" t="s">
        <v>834</v>
      </c>
      <c r="R652" s="38" t="s">
        <v>268</v>
      </c>
      <c r="S652" s="29" t="s">
        <v>840</v>
      </c>
      <c r="T652" s="29" t="s">
        <v>99</v>
      </c>
      <c r="U652" s="29" t="s">
        <v>4349</v>
      </c>
      <c r="V652" s="29">
        <v>31434</v>
      </c>
      <c r="W652" s="29" t="s">
        <v>2994</v>
      </c>
      <c r="Y652" s="2" t="s">
        <v>3635</v>
      </c>
      <c r="Z652" s="2" t="s">
        <v>3635</v>
      </c>
    </row>
    <row r="653" spans="1:29" x14ac:dyDescent="0.2">
      <c r="A653" s="29"/>
      <c r="B653" s="29" t="s">
        <v>586</v>
      </c>
      <c r="E653" s="29" t="s">
        <v>788</v>
      </c>
      <c r="F653" s="29" t="s">
        <v>211</v>
      </c>
      <c r="G653" s="29" t="s">
        <v>808</v>
      </c>
      <c r="H653" s="29" t="s">
        <v>219</v>
      </c>
      <c r="I653" s="29" t="s">
        <v>811</v>
      </c>
      <c r="J653" s="29" t="s">
        <v>219</v>
      </c>
      <c r="K653" s="29" t="s">
        <v>814</v>
      </c>
      <c r="L653" s="29" t="s">
        <v>219</v>
      </c>
      <c r="M653" s="29" t="s">
        <v>821</v>
      </c>
      <c r="N653" s="29" t="s">
        <v>226</v>
      </c>
      <c r="O653" s="29" t="s">
        <v>833</v>
      </c>
      <c r="P653" s="38" t="s">
        <v>207</v>
      </c>
      <c r="Q653" s="29" t="s">
        <v>835</v>
      </c>
      <c r="R653" s="38" t="s">
        <v>269</v>
      </c>
      <c r="S653" s="29" t="s">
        <v>846</v>
      </c>
      <c r="T653" s="29" t="s">
        <v>781</v>
      </c>
      <c r="U653" s="29" t="s">
        <v>4350</v>
      </c>
      <c r="V653" s="29">
        <v>31435</v>
      </c>
      <c r="W653" s="29" t="s">
        <v>2994</v>
      </c>
      <c r="Y653" s="2" t="s">
        <v>2961</v>
      </c>
      <c r="Z653" s="2" t="s">
        <v>2961</v>
      </c>
    </row>
    <row r="654" spans="1:29" x14ac:dyDescent="0.2">
      <c r="A654" s="29"/>
      <c r="B654" s="29" t="s">
        <v>587</v>
      </c>
      <c r="E654" s="29" t="s">
        <v>790</v>
      </c>
      <c r="F654" s="29" t="s">
        <v>213</v>
      </c>
      <c r="G654" s="29" t="s">
        <v>809</v>
      </c>
      <c r="H654" s="29" t="s">
        <v>220</v>
      </c>
      <c r="I654" s="29" t="s">
        <v>812</v>
      </c>
      <c r="J654" s="29" t="s">
        <v>220</v>
      </c>
      <c r="K654" s="29" t="s">
        <v>815</v>
      </c>
      <c r="L654" s="29" t="s">
        <v>220</v>
      </c>
      <c r="M654" s="29" t="s">
        <v>822</v>
      </c>
      <c r="N654" s="29" t="s">
        <v>227</v>
      </c>
      <c r="O654" s="29"/>
      <c r="P654" s="38"/>
      <c r="Q654" s="29" t="s">
        <v>836</v>
      </c>
      <c r="R654" s="38" t="s">
        <v>270</v>
      </c>
      <c r="S654" s="29" t="s">
        <v>1595</v>
      </c>
      <c r="T654" s="29" t="s">
        <v>1596</v>
      </c>
      <c r="U654" s="29" t="s">
        <v>4351</v>
      </c>
      <c r="V654" s="29">
        <v>9661</v>
      </c>
      <c r="W654" s="29" t="s">
        <v>2994</v>
      </c>
      <c r="Y654" s="2" t="s">
        <v>3636</v>
      </c>
      <c r="Z654" s="2" t="s">
        <v>3636</v>
      </c>
    </row>
    <row r="655" spans="1:29" x14ac:dyDescent="0.2">
      <c r="A655" s="29"/>
      <c r="B655" s="29"/>
      <c r="E655" s="29" t="s">
        <v>791</v>
      </c>
      <c r="F655" s="29" t="s">
        <v>214</v>
      </c>
      <c r="G655" s="29" t="s">
        <v>810</v>
      </c>
      <c r="H655" s="29" t="s">
        <v>221</v>
      </c>
      <c r="I655" s="29"/>
      <c r="J655" s="29"/>
      <c r="K655" s="29" t="s">
        <v>816</v>
      </c>
      <c r="L655" s="29" t="s">
        <v>221</v>
      </c>
      <c r="M655" s="29" t="s">
        <v>823</v>
      </c>
      <c r="N655" s="29" t="s">
        <v>228</v>
      </c>
      <c r="O655" s="29"/>
      <c r="P655" s="38"/>
      <c r="Q655" s="29" t="s">
        <v>837</v>
      </c>
      <c r="R655" s="38" t="s">
        <v>271</v>
      </c>
      <c r="S655" s="29" t="s">
        <v>842</v>
      </c>
      <c r="T655" s="29" t="s">
        <v>34</v>
      </c>
      <c r="U655" s="29" t="s">
        <v>4352</v>
      </c>
      <c r="V655" s="29">
        <v>9670</v>
      </c>
      <c r="W655" s="29" t="s">
        <v>2994</v>
      </c>
      <c r="Y655" s="2" t="s">
        <v>2962</v>
      </c>
      <c r="Z655" s="2" t="s">
        <v>2962</v>
      </c>
    </row>
    <row r="656" spans="1:29" x14ac:dyDescent="0.2">
      <c r="A656" s="29"/>
      <c r="B656" s="29"/>
      <c r="E656" s="29" t="s">
        <v>2709</v>
      </c>
      <c r="F656" s="29" t="s">
        <v>2710</v>
      </c>
      <c r="G656" s="29" t="s">
        <v>2803</v>
      </c>
      <c r="H656" s="29" t="s">
        <v>222</v>
      </c>
      <c r="I656" s="29"/>
      <c r="J656" s="29"/>
      <c r="K656" s="29" t="s">
        <v>817</v>
      </c>
      <c r="L656" s="29" t="s">
        <v>222</v>
      </c>
      <c r="M656" s="29" t="s">
        <v>824</v>
      </c>
      <c r="N656" s="29" t="s">
        <v>229</v>
      </c>
      <c r="O656" s="29"/>
      <c r="P656" s="38"/>
      <c r="Q656" s="29" t="s">
        <v>838</v>
      </c>
      <c r="R656" s="38" t="s">
        <v>272</v>
      </c>
      <c r="S656" s="29" t="s">
        <v>2959</v>
      </c>
      <c r="T656" s="29" t="s">
        <v>2960</v>
      </c>
      <c r="U656" s="29" t="s">
        <v>4353</v>
      </c>
      <c r="V656" s="29">
        <v>9671</v>
      </c>
      <c r="W656" s="29" t="s">
        <v>2994</v>
      </c>
      <c r="Y656" s="2" t="s">
        <v>2963</v>
      </c>
      <c r="Z656" s="2" t="s">
        <v>2963</v>
      </c>
    </row>
    <row r="657" spans="1:26" x14ac:dyDescent="0.2">
      <c r="A657" s="29"/>
      <c r="B657" s="29"/>
      <c r="E657" s="29" t="s">
        <v>792</v>
      </c>
      <c r="F657" s="29" t="s">
        <v>215</v>
      </c>
      <c r="G657" s="29"/>
      <c r="H657" s="29"/>
      <c r="I657" s="29"/>
      <c r="J657" s="29"/>
      <c r="K657" s="29" t="s">
        <v>818</v>
      </c>
      <c r="L657" s="29" t="s">
        <v>223</v>
      </c>
      <c r="M657" s="29" t="s">
        <v>825</v>
      </c>
      <c r="N657" s="29" t="s">
        <v>230</v>
      </c>
      <c r="O657" s="29"/>
      <c r="P657" s="38"/>
      <c r="Q657" s="29" t="s">
        <v>839</v>
      </c>
      <c r="R657" s="38" t="s">
        <v>273</v>
      </c>
      <c r="S657" s="29" t="s">
        <v>849</v>
      </c>
      <c r="T657" s="29" t="s">
        <v>359</v>
      </c>
      <c r="U657" s="29" t="s">
        <v>4354</v>
      </c>
      <c r="V657" s="29">
        <v>9672</v>
      </c>
      <c r="W657" s="29" t="s">
        <v>2994</v>
      </c>
      <c r="Y657" s="2" t="s">
        <v>2964</v>
      </c>
      <c r="Z657" s="2" t="s">
        <v>2964</v>
      </c>
    </row>
    <row r="658" spans="1:26" x14ac:dyDescent="0.2">
      <c r="A658" s="29"/>
      <c r="B658" s="29"/>
      <c r="E658" s="29" t="s">
        <v>2711</v>
      </c>
      <c r="F658" s="29" t="s">
        <v>2712</v>
      </c>
      <c r="G658" s="29"/>
      <c r="H658" s="29"/>
      <c r="I658" s="29"/>
      <c r="J658" s="29"/>
      <c r="K658" s="29" t="s">
        <v>819</v>
      </c>
      <c r="L658" s="29" t="s">
        <v>224</v>
      </c>
      <c r="M658" s="29" t="s">
        <v>826</v>
      </c>
      <c r="N658" s="29" t="s">
        <v>231</v>
      </c>
      <c r="Q658" s="29"/>
      <c r="R658" s="38"/>
      <c r="S658" s="29" t="s">
        <v>848</v>
      </c>
      <c r="T658" s="29" t="s">
        <v>279</v>
      </c>
      <c r="U658" s="29" t="s">
        <v>4355</v>
      </c>
      <c r="V658" s="29">
        <v>9673</v>
      </c>
      <c r="W658" s="29" t="s">
        <v>2994</v>
      </c>
      <c r="Y658" s="2" t="s">
        <v>2965</v>
      </c>
      <c r="Z658" s="2" t="s">
        <v>2965</v>
      </c>
    </row>
    <row r="659" spans="1:26" x14ac:dyDescent="0.2">
      <c r="E659" s="29" t="s">
        <v>793</v>
      </c>
      <c r="F659" s="29" t="s">
        <v>216</v>
      </c>
      <c r="G659" s="29"/>
      <c r="H659" s="29"/>
      <c r="K659" s="29"/>
      <c r="L659" s="29"/>
      <c r="M659" s="29" t="s">
        <v>827</v>
      </c>
      <c r="N659" s="29" t="s">
        <v>232</v>
      </c>
      <c r="Q659" s="29"/>
      <c r="R659" s="38"/>
      <c r="S659" s="29" t="s">
        <v>847</v>
      </c>
      <c r="T659" s="29" t="s">
        <v>278</v>
      </c>
      <c r="U659" s="29" t="s">
        <v>4356</v>
      </c>
      <c r="V659" s="29">
        <v>9674</v>
      </c>
      <c r="W659" s="29" t="s">
        <v>2994</v>
      </c>
      <c r="Y659" s="2" t="s">
        <v>2966</v>
      </c>
      <c r="Z659" s="2" t="s">
        <v>2966</v>
      </c>
    </row>
    <row r="660" spans="1:26" x14ac:dyDescent="0.2">
      <c r="A660" s="11" t="s">
        <v>204</v>
      </c>
      <c r="B660" s="11" t="s">
        <v>204</v>
      </c>
      <c r="E660" s="29" t="s">
        <v>2713</v>
      </c>
      <c r="F660" s="29" t="s">
        <v>2714</v>
      </c>
      <c r="G660" s="29"/>
      <c r="H660" s="29"/>
      <c r="K660" s="29"/>
      <c r="L660" s="29"/>
      <c r="M660" s="29" t="s">
        <v>828</v>
      </c>
      <c r="N660" s="29" t="s">
        <v>233</v>
      </c>
      <c r="Q660" s="29"/>
      <c r="R660" s="38"/>
      <c r="S660" s="29" t="s">
        <v>845</v>
      </c>
      <c r="T660" s="29" t="s">
        <v>277</v>
      </c>
      <c r="U660" s="29" t="s">
        <v>4357</v>
      </c>
      <c r="V660" s="29">
        <v>9675</v>
      </c>
      <c r="W660" s="29" t="s">
        <v>2994</v>
      </c>
      <c r="Y660" s="2" t="s">
        <v>2967</v>
      </c>
      <c r="Z660" s="2" t="s">
        <v>2967</v>
      </c>
    </row>
    <row r="661" spans="1:26" x14ac:dyDescent="0.2">
      <c r="A661" s="29" t="s">
        <v>73</v>
      </c>
      <c r="B661" s="29" t="s">
        <v>88</v>
      </c>
      <c r="E661" s="29" t="s">
        <v>2715</v>
      </c>
      <c r="F661" s="29" t="s">
        <v>2716</v>
      </c>
      <c r="G661" s="29"/>
      <c r="H661" s="29"/>
      <c r="K661" s="29"/>
      <c r="L661" s="29"/>
      <c r="M661" s="29" t="s">
        <v>829</v>
      </c>
      <c r="N661" s="29" t="s">
        <v>234</v>
      </c>
      <c r="Q661" s="29"/>
      <c r="R661" s="38"/>
      <c r="S661" s="29" t="s">
        <v>844</v>
      </c>
      <c r="T661" s="29" t="s">
        <v>275</v>
      </c>
      <c r="U661" s="29" t="s">
        <v>4358</v>
      </c>
      <c r="V661" s="29">
        <v>9676</v>
      </c>
      <c r="W661" s="29" t="s">
        <v>2994</v>
      </c>
      <c r="Y661" s="2" t="s">
        <v>2968</v>
      </c>
      <c r="Z661" s="2" t="s">
        <v>2968</v>
      </c>
    </row>
    <row r="662" spans="1:26" x14ac:dyDescent="0.2">
      <c r="A662" s="29" t="s">
        <v>86</v>
      </c>
      <c r="B662" s="29" t="s">
        <v>86</v>
      </c>
      <c r="E662" s="29" t="s">
        <v>794</v>
      </c>
      <c r="F662" s="29" t="s">
        <v>217</v>
      </c>
      <c r="G662" s="29"/>
      <c r="H662" s="29"/>
      <c r="K662" s="29"/>
      <c r="L662" s="29"/>
      <c r="M662" s="29" t="s">
        <v>830</v>
      </c>
      <c r="N662" s="29" t="s">
        <v>235</v>
      </c>
      <c r="Q662" s="29"/>
      <c r="R662" s="38"/>
      <c r="S662" s="29" t="s">
        <v>843</v>
      </c>
      <c r="T662" s="29" t="s">
        <v>274</v>
      </c>
      <c r="U662" s="29" t="s">
        <v>4359</v>
      </c>
      <c r="V662" s="29">
        <v>9677</v>
      </c>
      <c r="W662" s="29" t="s">
        <v>2994</v>
      </c>
      <c r="Y662" s="2" t="s">
        <v>2969</v>
      </c>
      <c r="Z662" s="2" t="s">
        <v>2969</v>
      </c>
    </row>
    <row r="663" spans="1:26" x14ac:dyDescent="0.2">
      <c r="A663" s="29" t="s">
        <v>388</v>
      </c>
      <c r="B663" s="29" t="s">
        <v>388</v>
      </c>
      <c r="E663" s="29" t="s">
        <v>795</v>
      </c>
      <c r="F663" s="29" t="s">
        <v>621</v>
      </c>
      <c r="G663" s="29"/>
      <c r="H663" s="29"/>
      <c r="K663" s="29"/>
      <c r="L663" s="29"/>
      <c r="M663" s="29" t="s">
        <v>831</v>
      </c>
      <c r="N663" s="29" t="s">
        <v>236</v>
      </c>
      <c r="Q663" s="29"/>
      <c r="R663" s="38"/>
      <c r="S663" s="29" t="s">
        <v>841</v>
      </c>
      <c r="T663" s="29" t="s">
        <v>360</v>
      </c>
      <c r="U663" s="29" t="s">
        <v>4360</v>
      </c>
      <c r="V663" s="29">
        <v>9678</v>
      </c>
      <c r="W663" s="29" t="s">
        <v>2994</v>
      </c>
      <c r="Y663" s="2" t="s">
        <v>2970</v>
      </c>
      <c r="Z663" s="2" t="s">
        <v>2970</v>
      </c>
    </row>
    <row r="664" spans="1:26" x14ac:dyDescent="0.2">
      <c r="A664" s="29"/>
      <c r="B664" s="29"/>
      <c r="E664" s="29" t="s">
        <v>622</v>
      </c>
      <c r="F664" s="29" t="s">
        <v>622</v>
      </c>
      <c r="G664" s="29"/>
      <c r="H664" s="29"/>
      <c r="K664" s="29"/>
      <c r="L664" s="29"/>
      <c r="M664" s="29" t="s">
        <v>805</v>
      </c>
      <c r="N664" s="29" t="s">
        <v>631</v>
      </c>
      <c r="Q664" s="29"/>
      <c r="R664" s="38"/>
      <c r="S664" s="29"/>
      <c r="T664" s="29"/>
      <c r="U664" s="29" t="s">
        <v>4361</v>
      </c>
      <c r="V664" s="29">
        <v>9679</v>
      </c>
      <c r="W664" s="29" t="s">
        <v>2994</v>
      </c>
      <c r="Y664" s="2" t="s">
        <v>2971</v>
      </c>
      <c r="Z664" s="2" t="s">
        <v>2971</v>
      </c>
    </row>
    <row r="665" spans="1:26" x14ac:dyDescent="0.2">
      <c r="A665" s="29"/>
      <c r="B665" s="29"/>
      <c r="E665" s="29" t="s">
        <v>1589</v>
      </c>
      <c r="F665" s="29" t="s">
        <v>1590</v>
      </c>
      <c r="G665" s="29"/>
      <c r="H665" s="29"/>
      <c r="K665" s="29"/>
      <c r="L665" s="29"/>
      <c r="M665" s="29" t="s">
        <v>1593</v>
      </c>
      <c r="N665" s="29" t="s">
        <v>1594</v>
      </c>
      <c r="Q665" s="29"/>
      <c r="R665" s="38"/>
      <c r="S665" s="29"/>
      <c r="T665" s="29"/>
      <c r="U665" s="29" t="s">
        <v>4362</v>
      </c>
      <c r="V665" s="29">
        <v>9662</v>
      </c>
      <c r="W665" s="29" t="s">
        <v>2994</v>
      </c>
      <c r="Y665" s="2" t="s">
        <v>2935</v>
      </c>
      <c r="Z665" s="2" t="s">
        <v>2935</v>
      </c>
    </row>
    <row r="666" spans="1:26" x14ac:dyDescent="0.2">
      <c r="A666" s="29"/>
      <c r="B666" s="29"/>
      <c r="E666" s="29" t="s">
        <v>796</v>
      </c>
      <c r="F666" s="29" t="s">
        <v>623</v>
      </c>
      <c r="G666" s="29"/>
      <c r="H666" s="29"/>
      <c r="K666" s="29"/>
      <c r="L666" s="29"/>
      <c r="M666" s="29" t="s">
        <v>2717</v>
      </c>
      <c r="N666" s="29" t="s">
        <v>2718</v>
      </c>
      <c r="S666" s="29"/>
      <c r="T666" s="29"/>
      <c r="U666" s="29" t="s">
        <v>4363</v>
      </c>
      <c r="V666" s="29">
        <v>9680</v>
      </c>
      <c r="W666" s="29" t="s">
        <v>2994</v>
      </c>
      <c r="Y666" s="2" t="s">
        <v>2972</v>
      </c>
      <c r="Z666" s="2" t="s">
        <v>2972</v>
      </c>
    </row>
    <row r="667" spans="1:26" x14ac:dyDescent="0.2">
      <c r="A667" s="29"/>
      <c r="B667" s="29"/>
      <c r="E667" s="29" t="s">
        <v>797</v>
      </c>
      <c r="F667" s="29" t="s">
        <v>624</v>
      </c>
      <c r="G667" s="29"/>
      <c r="H667" s="29"/>
      <c r="K667" s="29"/>
      <c r="L667" s="29"/>
      <c r="M667" s="29" t="s">
        <v>2719</v>
      </c>
      <c r="N667" s="29" t="s">
        <v>1730</v>
      </c>
      <c r="S667" s="29"/>
      <c r="T667" s="29"/>
      <c r="U667" s="29" t="s">
        <v>4364</v>
      </c>
      <c r="V667" s="29">
        <v>9681</v>
      </c>
      <c r="W667" s="29" t="s">
        <v>2994</v>
      </c>
      <c r="Y667" s="2" t="s">
        <v>2973</v>
      </c>
      <c r="Z667" s="2" t="s">
        <v>2973</v>
      </c>
    </row>
    <row r="668" spans="1:26" x14ac:dyDescent="0.2">
      <c r="A668" s="29"/>
      <c r="B668" s="29"/>
      <c r="E668" s="29" t="s">
        <v>798</v>
      </c>
      <c r="F668" s="29" t="s">
        <v>589</v>
      </c>
      <c r="M668" s="29"/>
      <c r="N668" s="29"/>
      <c r="S668" s="29"/>
      <c r="T668" s="29"/>
      <c r="U668" s="29" t="s">
        <v>4365</v>
      </c>
      <c r="V668" s="29">
        <v>9682</v>
      </c>
      <c r="W668" s="29" t="s">
        <v>2994</v>
      </c>
      <c r="Y668" s="2" t="s">
        <v>3427</v>
      </c>
      <c r="Z668" s="2" t="s">
        <v>3427</v>
      </c>
    </row>
    <row r="669" spans="1:26" x14ac:dyDescent="0.2">
      <c r="A669" s="29"/>
      <c r="B669" s="29"/>
      <c r="E669" s="29" t="s">
        <v>799</v>
      </c>
      <c r="F669" s="29" t="s">
        <v>625</v>
      </c>
      <c r="M669" s="29"/>
      <c r="N669" s="29"/>
      <c r="S669" s="29"/>
      <c r="T669" s="29"/>
      <c r="U669" s="29" t="s">
        <v>4366</v>
      </c>
      <c r="V669" s="29">
        <v>9683</v>
      </c>
      <c r="W669" s="29" t="s">
        <v>2994</v>
      </c>
      <c r="Y669" s="2" t="s">
        <v>4312</v>
      </c>
      <c r="Z669" s="2" t="s">
        <v>4312</v>
      </c>
    </row>
    <row r="670" spans="1:26" x14ac:dyDescent="0.2">
      <c r="A670" s="29"/>
      <c r="B670" s="29"/>
      <c r="E670" s="29" t="s">
        <v>800</v>
      </c>
      <c r="F670" s="29" t="s">
        <v>626</v>
      </c>
      <c r="M670" s="29"/>
      <c r="N670" s="29"/>
      <c r="S670" s="29"/>
      <c r="T670" s="29"/>
      <c r="U670" s="29" t="s">
        <v>4367</v>
      </c>
      <c r="V670" s="29">
        <v>9684</v>
      </c>
      <c r="W670" s="29" t="s">
        <v>2994</v>
      </c>
      <c r="Y670" s="2" t="s">
        <v>4313</v>
      </c>
      <c r="Z670" s="2" t="s">
        <v>4313</v>
      </c>
    </row>
    <row r="671" spans="1:26" x14ac:dyDescent="0.2">
      <c r="E671" s="29" t="s">
        <v>801</v>
      </c>
      <c r="F671" s="29" t="s">
        <v>627</v>
      </c>
      <c r="M671" s="29"/>
      <c r="N671" s="29"/>
      <c r="S671" s="29"/>
      <c r="T671" s="29"/>
      <c r="U671" s="29" t="s">
        <v>4368</v>
      </c>
      <c r="V671" s="29">
        <v>9685</v>
      </c>
      <c r="W671" s="29" t="s">
        <v>2994</v>
      </c>
      <c r="Y671" s="2" t="s">
        <v>4314</v>
      </c>
      <c r="Z671" s="2" t="s">
        <v>4314</v>
      </c>
    </row>
    <row r="672" spans="1:26" x14ac:dyDescent="0.2">
      <c r="B672" s="11" t="s">
        <v>202</v>
      </c>
      <c r="C672" s="11" t="s">
        <v>590</v>
      </c>
      <c r="E672" s="29" t="s">
        <v>802</v>
      </c>
      <c r="F672" s="29" t="s">
        <v>628</v>
      </c>
      <c r="M672" s="29"/>
      <c r="N672" s="29"/>
      <c r="S672" s="29"/>
      <c r="T672" s="29"/>
      <c r="U672" s="29" t="s">
        <v>4369</v>
      </c>
      <c r="V672" s="29">
        <v>9686</v>
      </c>
      <c r="W672" s="29" t="s">
        <v>2994</v>
      </c>
      <c r="Y672" s="2" t="s">
        <v>2974</v>
      </c>
      <c r="Z672" s="2" t="s">
        <v>2974</v>
      </c>
    </row>
    <row r="673" spans="2:26" x14ac:dyDescent="0.2">
      <c r="B673" s="29" t="s">
        <v>73</v>
      </c>
      <c r="C673" s="33">
        <f ca="1">NOW()</f>
        <v>43418.592989351855</v>
      </c>
      <c r="E673" s="29" t="s">
        <v>803</v>
      </c>
      <c r="F673" s="29" t="s">
        <v>629</v>
      </c>
      <c r="M673" s="29"/>
      <c r="N673" s="29"/>
      <c r="S673" s="29"/>
      <c r="T673" s="29"/>
      <c r="U673" s="29" t="s">
        <v>4370</v>
      </c>
      <c r="V673" s="29">
        <v>9687</v>
      </c>
      <c r="W673" s="29" t="s">
        <v>2994</v>
      </c>
      <c r="Y673" s="2" t="s">
        <v>3083</v>
      </c>
      <c r="Z673" s="2" t="s">
        <v>3083</v>
      </c>
    </row>
    <row r="674" spans="2:26" x14ac:dyDescent="0.2">
      <c r="B674" s="29" t="s">
        <v>86</v>
      </c>
      <c r="E674" s="29" t="s">
        <v>1591</v>
      </c>
      <c r="F674" s="29" t="s">
        <v>1592</v>
      </c>
      <c r="M674" s="29"/>
      <c r="N674" s="29"/>
      <c r="S674" s="29"/>
      <c r="T674" s="29"/>
      <c r="U674" s="29" t="s">
        <v>4371</v>
      </c>
      <c r="V674" s="29">
        <v>9688</v>
      </c>
      <c r="W674" s="29" t="s">
        <v>2994</v>
      </c>
      <c r="Y674" s="2" t="s">
        <v>2723</v>
      </c>
      <c r="Z674" s="2" t="s">
        <v>2723</v>
      </c>
    </row>
    <row r="675" spans="2:26" x14ac:dyDescent="0.2">
      <c r="B675" s="29"/>
      <c r="E675" s="29" t="s">
        <v>804</v>
      </c>
      <c r="F675" s="29" t="s">
        <v>630</v>
      </c>
      <c r="M675" s="29"/>
      <c r="N675" s="29"/>
      <c r="S675" s="29"/>
      <c r="T675" s="29"/>
      <c r="U675" s="29" t="s">
        <v>4372</v>
      </c>
      <c r="V675" s="29">
        <v>9689</v>
      </c>
      <c r="W675" s="29" t="s">
        <v>2994</v>
      </c>
      <c r="Y675" s="2" t="s">
        <v>2727</v>
      </c>
      <c r="Z675" s="2" t="s">
        <v>2727</v>
      </c>
    </row>
    <row r="676" spans="2:26" x14ac:dyDescent="0.2">
      <c r="B676" s="29"/>
      <c r="E676" s="29" t="s">
        <v>805</v>
      </c>
      <c r="F676" s="29" t="s">
        <v>631</v>
      </c>
      <c r="M676" s="29"/>
      <c r="N676" s="29"/>
      <c r="S676" s="29"/>
      <c r="T676" s="29"/>
      <c r="U676" s="29" t="s">
        <v>4373</v>
      </c>
      <c r="V676" s="29">
        <v>9663</v>
      </c>
      <c r="W676" s="29" t="s">
        <v>2994</v>
      </c>
      <c r="Y676" s="2" t="s">
        <v>2722</v>
      </c>
      <c r="Z676" s="2" t="s">
        <v>2722</v>
      </c>
    </row>
    <row r="677" spans="2:26" x14ac:dyDescent="0.2">
      <c r="E677" s="29" t="s">
        <v>806</v>
      </c>
      <c r="F677" s="29" t="s">
        <v>210</v>
      </c>
      <c r="M677" s="29"/>
      <c r="N677" s="29"/>
      <c r="S677" s="29"/>
      <c r="T677" s="29"/>
      <c r="U677" s="29" t="s">
        <v>4374</v>
      </c>
      <c r="V677" s="29">
        <v>9690</v>
      </c>
      <c r="W677" s="29" t="s">
        <v>2994</v>
      </c>
      <c r="Y677" s="2" t="s">
        <v>2728</v>
      </c>
      <c r="Z677" s="2" t="s">
        <v>2728</v>
      </c>
    </row>
    <row r="678" spans="2:26" x14ac:dyDescent="0.2">
      <c r="E678" s="29" t="s">
        <v>789</v>
      </c>
      <c r="F678" s="29" t="s">
        <v>212</v>
      </c>
      <c r="M678" s="29"/>
      <c r="N678" s="29"/>
      <c r="S678" s="29"/>
      <c r="T678" s="29"/>
      <c r="U678" s="29" t="s">
        <v>4375</v>
      </c>
      <c r="V678" s="29">
        <v>9691</v>
      </c>
      <c r="W678" s="29" t="s">
        <v>2994</v>
      </c>
      <c r="Y678" s="2" t="s">
        <v>2734</v>
      </c>
      <c r="Z678" s="2" t="s">
        <v>2734</v>
      </c>
    </row>
    <row r="679" spans="2:26" x14ac:dyDescent="0.2">
      <c r="E679" s="29" t="s">
        <v>3396</v>
      </c>
      <c r="F679" s="29" t="s">
        <v>3397</v>
      </c>
      <c r="M679" s="29"/>
      <c r="N679" s="29"/>
      <c r="S679" s="29"/>
      <c r="T679" s="29"/>
      <c r="U679" s="29" t="s">
        <v>4376</v>
      </c>
      <c r="V679" s="29">
        <v>9692</v>
      </c>
      <c r="W679" s="29" t="s">
        <v>2994</v>
      </c>
      <c r="Y679" s="2" t="s">
        <v>2725</v>
      </c>
      <c r="Z679" s="2" t="s">
        <v>2725</v>
      </c>
    </row>
    <row r="680" spans="2:26" x14ac:dyDescent="0.2">
      <c r="E680" s="29" t="s">
        <v>3398</v>
      </c>
      <c r="F680" s="29" t="s">
        <v>3399</v>
      </c>
      <c r="M680" s="29"/>
      <c r="N680" s="29"/>
      <c r="S680" s="29"/>
      <c r="T680" s="29"/>
      <c r="U680" s="29" t="s">
        <v>4377</v>
      </c>
      <c r="V680" s="29">
        <v>9693</v>
      </c>
      <c r="W680" s="29" t="s">
        <v>2994</v>
      </c>
      <c r="Y680" s="2" t="s">
        <v>2724</v>
      </c>
      <c r="Z680" s="2" t="s">
        <v>2724</v>
      </c>
    </row>
    <row r="681" spans="2:26" x14ac:dyDescent="0.2">
      <c r="E681" s="29"/>
      <c r="F681" s="29"/>
      <c r="S681" s="29"/>
      <c r="T681" s="29"/>
      <c r="U681" s="29" t="s">
        <v>4378</v>
      </c>
      <c r="V681" s="29">
        <v>9694</v>
      </c>
      <c r="W681" s="29" t="s">
        <v>2994</v>
      </c>
      <c r="Y681" s="2" t="s">
        <v>2735</v>
      </c>
      <c r="Z681" s="2" t="s">
        <v>2735</v>
      </c>
    </row>
    <row r="682" spans="2:26" x14ac:dyDescent="0.2">
      <c r="E682" s="29"/>
      <c r="F682" s="29"/>
      <c r="S682" s="29"/>
      <c r="T682" s="29"/>
      <c r="U682" s="29" t="s">
        <v>4379</v>
      </c>
      <c r="V682" s="29">
        <v>9695</v>
      </c>
      <c r="W682" s="29" t="s">
        <v>2994</v>
      </c>
      <c r="Y682" s="2" t="s">
        <v>2737</v>
      </c>
      <c r="Z682" s="2" t="s">
        <v>2737</v>
      </c>
    </row>
    <row r="683" spans="2:26" x14ac:dyDescent="0.2">
      <c r="E683" s="29"/>
      <c r="F683" s="29"/>
      <c r="S683" s="29"/>
      <c r="T683" s="29"/>
      <c r="U683" s="29" t="s">
        <v>4380</v>
      </c>
      <c r="V683" s="29">
        <v>9696</v>
      </c>
      <c r="W683" s="29" t="s">
        <v>2994</v>
      </c>
      <c r="Y683" s="2" t="s">
        <v>2720</v>
      </c>
      <c r="Z683" s="2" t="s">
        <v>2720</v>
      </c>
    </row>
    <row r="684" spans="2:26" x14ac:dyDescent="0.2">
      <c r="E684" s="29"/>
      <c r="F684" s="29"/>
      <c r="S684" s="29"/>
      <c r="T684" s="29"/>
      <c r="U684" s="29" t="s">
        <v>4381</v>
      </c>
      <c r="V684" s="29">
        <v>9697</v>
      </c>
      <c r="W684" s="29" t="s">
        <v>2994</v>
      </c>
      <c r="Y684" s="2" t="s">
        <v>2726</v>
      </c>
      <c r="Z684" s="2" t="s">
        <v>2726</v>
      </c>
    </row>
    <row r="685" spans="2:26" x14ac:dyDescent="0.2">
      <c r="E685" s="29"/>
      <c r="F685" s="29"/>
      <c r="S685" s="29"/>
      <c r="T685" s="29"/>
      <c r="U685" s="29" t="s">
        <v>4382</v>
      </c>
      <c r="V685" s="29">
        <v>9698</v>
      </c>
      <c r="W685" s="29" t="s">
        <v>2994</v>
      </c>
      <c r="Y685" s="2" t="s">
        <v>2736</v>
      </c>
      <c r="Z685" s="2" t="s">
        <v>2736</v>
      </c>
    </row>
    <row r="686" spans="2:26" x14ac:dyDescent="0.2">
      <c r="E686" s="29"/>
      <c r="F686" s="29"/>
      <c r="S686" s="29"/>
      <c r="T686" s="29"/>
      <c r="U686" s="29" t="s">
        <v>4383</v>
      </c>
      <c r="V686" s="29">
        <v>9699</v>
      </c>
      <c r="W686" s="29" t="s">
        <v>2994</v>
      </c>
      <c r="Y686" s="2" t="s">
        <v>1665</v>
      </c>
      <c r="Z686" s="2" t="s">
        <v>1665</v>
      </c>
    </row>
    <row r="687" spans="2:26" x14ac:dyDescent="0.2">
      <c r="E687" s="29"/>
      <c r="F687" s="29"/>
      <c r="S687" s="29"/>
      <c r="T687" s="29"/>
      <c r="U687" s="29" t="s">
        <v>4384</v>
      </c>
      <c r="V687" s="29">
        <v>9664</v>
      </c>
      <c r="W687" s="29" t="s">
        <v>2994</v>
      </c>
      <c r="Y687" s="2" t="s">
        <v>1667</v>
      </c>
      <c r="Z687" s="2" t="s">
        <v>1667</v>
      </c>
    </row>
    <row r="688" spans="2:26" x14ac:dyDescent="0.2">
      <c r="E688" s="29"/>
      <c r="F688" s="29"/>
      <c r="S688" s="29"/>
      <c r="T688" s="29"/>
      <c r="U688" s="29" t="s">
        <v>4385</v>
      </c>
      <c r="V688" s="29">
        <v>9700</v>
      </c>
      <c r="W688" s="29" t="s">
        <v>2994</v>
      </c>
      <c r="Y688" s="2" t="s">
        <v>1666</v>
      </c>
      <c r="Z688" s="2" t="s">
        <v>1666</v>
      </c>
    </row>
    <row r="689" spans="5:26" x14ac:dyDescent="0.2">
      <c r="E689" s="29"/>
      <c r="F689" s="29"/>
      <c r="S689" s="29"/>
      <c r="T689" s="29"/>
      <c r="U689" s="29" t="s">
        <v>4386</v>
      </c>
      <c r="V689" s="29">
        <v>9665</v>
      </c>
      <c r="W689" s="29" t="s">
        <v>2994</v>
      </c>
      <c r="Y689" s="2" t="s">
        <v>1668</v>
      </c>
      <c r="Z689" s="2" t="s">
        <v>1668</v>
      </c>
    </row>
    <row r="690" spans="5:26" x14ac:dyDescent="0.2">
      <c r="E690" s="29"/>
      <c r="F690" s="29"/>
      <c r="S690" s="29"/>
      <c r="T690" s="29"/>
      <c r="U690" s="29" t="s">
        <v>4387</v>
      </c>
      <c r="V690" s="29">
        <v>9666</v>
      </c>
      <c r="W690" s="29" t="s">
        <v>2994</v>
      </c>
      <c r="Y690" s="2" t="s">
        <v>1669</v>
      </c>
      <c r="Z690" s="2" t="s">
        <v>1669</v>
      </c>
    </row>
    <row r="691" spans="5:26" x14ac:dyDescent="0.2">
      <c r="E691" s="29"/>
      <c r="F691" s="29"/>
      <c r="S691" s="29"/>
      <c r="T691" s="29"/>
      <c r="U691" s="29" t="s">
        <v>4388</v>
      </c>
      <c r="V691" s="29">
        <v>9667</v>
      </c>
      <c r="W691" s="29" t="s">
        <v>2994</v>
      </c>
      <c r="Y691" s="2" t="s">
        <v>1670</v>
      </c>
      <c r="Z691" s="2" t="s">
        <v>1670</v>
      </c>
    </row>
    <row r="692" spans="5:26" x14ac:dyDescent="0.2">
      <c r="E692" s="29"/>
      <c r="F692" s="29"/>
      <c r="S692" s="29"/>
      <c r="T692" s="29"/>
      <c r="U692" s="29" t="s">
        <v>4389</v>
      </c>
      <c r="V692" s="29">
        <v>9668</v>
      </c>
      <c r="W692" s="29" t="s">
        <v>2994</v>
      </c>
      <c r="Y692" s="2" t="s">
        <v>1671</v>
      </c>
      <c r="Z692" s="2" t="s">
        <v>1671</v>
      </c>
    </row>
    <row r="693" spans="5:26" x14ac:dyDescent="0.2">
      <c r="E693" s="29"/>
      <c r="F693" s="29"/>
      <c r="S693" s="29"/>
      <c r="T693" s="29"/>
      <c r="U693" s="29" t="s">
        <v>4390</v>
      </c>
      <c r="V693" s="29">
        <v>9669</v>
      </c>
      <c r="W693" s="29" t="s">
        <v>2994</v>
      </c>
      <c r="Y693" s="2" t="s">
        <v>1672</v>
      </c>
      <c r="Z693" s="2" t="s">
        <v>1672</v>
      </c>
    </row>
    <row r="694" spans="5:26" x14ac:dyDescent="0.2">
      <c r="E694" s="29"/>
      <c r="F694" s="29"/>
      <c r="S694" s="29"/>
      <c r="T694" s="29"/>
      <c r="U694" s="29" t="s">
        <v>4391</v>
      </c>
      <c r="V694" s="29">
        <v>25241</v>
      </c>
      <c r="W694" s="29" t="s">
        <v>2994</v>
      </c>
      <c r="Y694" s="2" t="s">
        <v>1498</v>
      </c>
      <c r="Z694" s="2" t="s">
        <v>1498</v>
      </c>
    </row>
    <row r="695" spans="5:26" x14ac:dyDescent="0.2">
      <c r="E695" s="29"/>
      <c r="F695" s="29"/>
      <c r="S695" s="29"/>
      <c r="T695" s="29"/>
      <c r="U695" s="29" t="s">
        <v>4392</v>
      </c>
      <c r="V695" s="29">
        <v>30886</v>
      </c>
      <c r="W695" s="29" t="s">
        <v>2994</v>
      </c>
      <c r="Y695" s="2" t="s">
        <v>1673</v>
      </c>
      <c r="Z695" s="2" t="s">
        <v>1673</v>
      </c>
    </row>
    <row r="696" spans="5:26" x14ac:dyDescent="0.2">
      <c r="E696" s="29"/>
      <c r="F696" s="29"/>
      <c r="S696" s="29"/>
      <c r="T696" s="29"/>
      <c r="U696" s="29" t="s">
        <v>4393</v>
      </c>
      <c r="V696" s="29">
        <v>30887</v>
      </c>
      <c r="W696" s="29" t="s">
        <v>2994</v>
      </c>
      <c r="Y696" s="2" t="s">
        <v>1674</v>
      </c>
      <c r="Z696" s="2" t="s">
        <v>1674</v>
      </c>
    </row>
    <row r="697" spans="5:26" x14ac:dyDescent="0.2">
      <c r="E697" s="29"/>
      <c r="F697" s="29"/>
      <c r="S697" s="29"/>
      <c r="T697" s="29"/>
      <c r="U697" s="29" t="s">
        <v>4394</v>
      </c>
      <c r="V697" s="29">
        <v>9701</v>
      </c>
      <c r="W697" s="29" t="s">
        <v>2994</v>
      </c>
      <c r="Y697" s="2" t="s">
        <v>1675</v>
      </c>
      <c r="Z697" s="2" t="s">
        <v>1675</v>
      </c>
    </row>
    <row r="698" spans="5:26" x14ac:dyDescent="0.2">
      <c r="E698" s="29"/>
      <c r="F698" s="29"/>
      <c r="S698" s="29"/>
      <c r="T698" s="29"/>
      <c r="U698" s="29" t="s">
        <v>4395</v>
      </c>
      <c r="V698" s="29">
        <v>9702</v>
      </c>
      <c r="W698" s="29" t="s">
        <v>2994</v>
      </c>
      <c r="Y698" s="2" t="s">
        <v>1676</v>
      </c>
      <c r="Z698" s="2" t="s">
        <v>1676</v>
      </c>
    </row>
    <row r="699" spans="5:26" x14ac:dyDescent="0.2">
      <c r="E699" s="29"/>
      <c r="F699" s="29"/>
      <c r="S699" s="29"/>
      <c r="T699" s="29"/>
      <c r="U699" s="29" t="s">
        <v>4396</v>
      </c>
      <c r="V699" s="29">
        <v>9703</v>
      </c>
      <c r="W699" s="29" t="s">
        <v>2994</v>
      </c>
      <c r="Y699" s="2" t="s">
        <v>1677</v>
      </c>
      <c r="Z699" s="2" t="s">
        <v>1677</v>
      </c>
    </row>
    <row r="700" spans="5:26" x14ac:dyDescent="0.2">
      <c r="E700" s="29"/>
      <c r="F700" s="29"/>
      <c r="S700" s="29"/>
      <c r="T700" s="29"/>
      <c r="U700" s="29" t="s">
        <v>4397</v>
      </c>
      <c r="V700" s="29">
        <v>9704</v>
      </c>
      <c r="W700" s="29" t="s">
        <v>2994</v>
      </c>
      <c r="Y700" s="2" t="s">
        <v>1678</v>
      </c>
      <c r="Z700" s="2" t="s">
        <v>1678</v>
      </c>
    </row>
    <row r="701" spans="5:26" x14ac:dyDescent="0.2">
      <c r="E701" s="29"/>
      <c r="F701" s="29"/>
      <c r="S701" s="29"/>
      <c r="T701" s="29"/>
      <c r="U701" s="29" t="s">
        <v>34</v>
      </c>
      <c r="V701" s="29">
        <v>24526</v>
      </c>
      <c r="W701" s="29" t="s">
        <v>2994</v>
      </c>
      <c r="Y701" s="2" t="s">
        <v>1679</v>
      </c>
      <c r="Z701" s="2" t="s">
        <v>1679</v>
      </c>
    </row>
    <row r="702" spans="5:26" x14ac:dyDescent="0.2">
      <c r="E702" s="29"/>
      <c r="F702" s="29"/>
      <c r="S702" s="29"/>
      <c r="T702" s="29"/>
      <c r="U702" s="29" t="s">
        <v>4398</v>
      </c>
      <c r="V702" s="29">
        <v>25341</v>
      </c>
      <c r="W702" s="29" t="s">
        <v>2994</v>
      </c>
      <c r="Y702" s="2" t="s">
        <v>1680</v>
      </c>
      <c r="Z702" s="2" t="s">
        <v>1680</v>
      </c>
    </row>
    <row r="703" spans="5:26" x14ac:dyDescent="0.2">
      <c r="E703" s="29"/>
      <c r="F703" s="29"/>
      <c r="U703" s="29" t="s">
        <v>4399</v>
      </c>
      <c r="V703" s="29">
        <v>24523</v>
      </c>
      <c r="W703" s="29" t="s">
        <v>2994</v>
      </c>
      <c r="Y703" s="2" t="s">
        <v>1681</v>
      </c>
      <c r="Z703" s="2" t="s">
        <v>1681</v>
      </c>
    </row>
    <row r="704" spans="5:26" x14ac:dyDescent="0.2">
      <c r="E704" s="29"/>
      <c r="F704" s="29"/>
      <c r="U704" s="29" t="s">
        <v>4400</v>
      </c>
      <c r="V704" s="29">
        <v>24524</v>
      </c>
      <c r="W704" s="29" t="s">
        <v>2994</v>
      </c>
      <c r="Y704" s="2" t="s">
        <v>1684</v>
      </c>
      <c r="Z704" s="2" t="s">
        <v>1684</v>
      </c>
    </row>
    <row r="705" spans="5:26" x14ac:dyDescent="0.2">
      <c r="E705" s="29"/>
      <c r="F705" s="29"/>
      <c r="U705" s="29" t="s">
        <v>4401</v>
      </c>
      <c r="V705" s="29">
        <v>24540</v>
      </c>
      <c r="W705" s="29" t="s">
        <v>2994</v>
      </c>
      <c r="Y705" s="2" t="s">
        <v>1685</v>
      </c>
      <c r="Z705" s="2" t="s">
        <v>1685</v>
      </c>
    </row>
    <row r="706" spans="5:26" x14ac:dyDescent="0.2">
      <c r="E706" s="29"/>
      <c r="F706" s="29"/>
      <c r="U706" s="29" t="s">
        <v>4402</v>
      </c>
      <c r="V706" s="29">
        <v>24525</v>
      </c>
      <c r="W706" s="29" t="s">
        <v>2994</v>
      </c>
      <c r="Y706" s="2" t="s">
        <v>1686</v>
      </c>
      <c r="Z706" s="2" t="s">
        <v>1686</v>
      </c>
    </row>
    <row r="707" spans="5:26" x14ac:dyDescent="0.2">
      <c r="E707" s="29"/>
      <c r="F707" s="29"/>
      <c r="U707" s="29" t="s">
        <v>4403</v>
      </c>
      <c r="V707" s="29">
        <v>29334</v>
      </c>
      <c r="W707" s="29" t="s">
        <v>2994</v>
      </c>
      <c r="Y707" s="2" t="s">
        <v>360</v>
      </c>
      <c r="Z707" s="2" t="s">
        <v>360</v>
      </c>
    </row>
    <row r="708" spans="5:26" x14ac:dyDescent="0.2">
      <c r="E708" s="29"/>
      <c r="F708" s="29"/>
      <c r="U708" s="29" t="s">
        <v>4404</v>
      </c>
      <c r="V708" s="29">
        <v>25400</v>
      </c>
      <c r="W708" s="29" t="s">
        <v>2994</v>
      </c>
      <c r="Y708" s="2" t="s">
        <v>1687</v>
      </c>
      <c r="Z708" s="2" t="s">
        <v>1687</v>
      </c>
    </row>
    <row r="709" spans="5:26" x14ac:dyDescent="0.2">
      <c r="E709" s="29"/>
      <c r="F709" s="29"/>
      <c r="U709" s="29" t="s">
        <v>4405</v>
      </c>
      <c r="V709" s="29">
        <v>25280</v>
      </c>
      <c r="W709" s="29" t="s">
        <v>2994</v>
      </c>
      <c r="Y709" s="2" t="s">
        <v>1688</v>
      </c>
      <c r="Z709" s="2" t="s">
        <v>1688</v>
      </c>
    </row>
    <row r="710" spans="5:26" x14ac:dyDescent="0.2">
      <c r="E710" s="29"/>
      <c r="F710" s="29"/>
      <c r="U710" s="29" t="s">
        <v>4406</v>
      </c>
      <c r="V710" s="29">
        <v>26660</v>
      </c>
      <c r="W710" s="29" t="s">
        <v>2994</v>
      </c>
      <c r="Y710" s="2" t="s">
        <v>1689</v>
      </c>
      <c r="Z710" s="2" t="s">
        <v>1689</v>
      </c>
    </row>
    <row r="711" spans="5:26" x14ac:dyDescent="0.2">
      <c r="E711" s="29"/>
      <c r="F711" s="29"/>
      <c r="U711" s="29" t="s">
        <v>4407</v>
      </c>
      <c r="V711" s="29">
        <v>25281</v>
      </c>
      <c r="W711" s="29" t="s">
        <v>2994</v>
      </c>
      <c r="Y711" s="2" t="s">
        <v>1690</v>
      </c>
      <c r="Z711" s="2" t="s">
        <v>1690</v>
      </c>
    </row>
    <row r="712" spans="5:26" x14ac:dyDescent="0.2">
      <c r="E712" s="29"/>
      <c r="F712" s="29"/>
      <c r="U712" s="29" t="s">
        <v>4408</v>
      </c>
      <c r="V712" s="29">
        <v>25318</v>
      </c>
      <c r="W712" s="29" t="s">
        <v>2994</v>
      </c>
      <c r="Y712" s="2" t="s">
        <v>685</v>
      </c>
      <c r="Z712" s="2" t="s">
        <v>685</v>
      </c>
    </row>
    <row r="713" spans="5:26" x14ac:dyDescent="0.2">
      <c r="E713" s="29"/>
      <c r="F713" s="29"/>
      <c r="U713" s="29" t="s">
        <v>4409</v>
      </c>
      <c r="V713" s="29">
        <v>30855</v>
      </c>
      <c r="W713" s="29" t="s">
        <v>2994</v>
      </c>
      <c r="Y713" s="2" t="s">
        <v>1691</v>
      </c>
      <c r="Z713" s="2" t="s">
        <v>1691</v>
      </c>
    </row>
    <row r="714" spans="5:26" x14ac:dyDescent="0.2">
      <c r="E714" s="29"/>
      <c r="F714" s="29"/>
      <c r="U714" s="29" t="s">
        <v>4410</v>
      </c>
      <c r="V714" s="29">
        <v>30856</v>
      </c>
      <c r="W714" s="29" t="s">
        <v>2994</v>
      </c>
      <c r="Y714" s="2" t="s">
        <v>1692</v>
      </c>
      <c r="Z714" s="2" t="s">
        <v>1692</v>
      </c>
    </row>
    <row r="715" spans="5:26" x14ac:dyDescent="0.2">
      <c r="E715" s="29"/>
      <c r="F715" s="29"/>
      <c r="U715" s="29" t="s">
        <v>4411</v>
      </c>
      <c r="V715" s="29">
        <v>30857</v>
      </c>
      <c r="W715" s="29" t="s">
        <v>2994</v>
      </c>
      <c r="Y715" s="2" t="s">
        <v>689</v>
      </c>
      <c r="Z715" s="2" t="s">
        <v>689</v>
      </c>
    </row>
    <row r="716" spans="5:26" x14ac:dyDescent="0.2">
      <c r="E716" s="29"/>
      <c r="F716" s="29"/>
      <c r="U716" s="29" t="s">
        <v>4412</v>
      </c>
      <c r="V716" s="29">
        <v>30858</v>
      </c>
      <c r="W716" s="29" t="s">
        <v>2994</v>
      </c>
      <c r="Y716" s="2" t="s">
        <v>1693</v>
      </c>
      <c r="Z716" s="2" t="s">
        <v>1693</v>
      </c>
    </row>
    <row r="717" spans="5:26" x14ac:dyDescent="0.2">
      <c r="E717" s="29"/>
      <c r="F717" s="29"/>
      <c r="U717" s="29" t="s">
        <v>4413</v>
      </c>
      <c r="V717" s="29">
        <v>30859</v>
      </c>
      <c r="W717" s="29" t="s">
        <v>2994</v>
      </c>
      <c r="Y717" s="2" t="s">
        <v>1694</v>
      </c>
      <c r="Z717" s="2" t="s">
        <v>1694</v>
      </c>
    </row>
    <row r="718" spans="5:26" x14ac:dyDescent="0.2">
      <c r="E718" s="29"/>
      <c r="F718" s="29"/>
      <c r="U718" s="29" t="s">
        <v>4414</v>
      </c>
      <c r="V718" s="29">
        <v>30860</v>
      </c>
      <c r="W718" s="29" t="s">
        <v>2994</v>
      </c>
      <c r="Y718" s="2" t="s">
        <v>1695</v>
      </c>
      <c r="Z718" s="2" t="s">
        <v>1695</v>
      </c>
    </row>
    <row r="719" spans="5:26" x14ac:dyDescent="0.2">
      <c r="E719" s="29"/>
      <c r="F719" s="29"/>
      <c r="U719" s="29" t="s">
        <v>4415</v>
      </c>
      <c r="V719" s="29">
        <v>30861</v>
      </c>
      <c r="W719" s="29" t="s">
        <v>2994</v>
      </c>
      <c r="Y719" s="2" t="s">
        <v>1696</v>
      </c>
      <c r="Z719" s="2" t="s">
        <v>1696</v>
      </c>
    </row>
    <row r="720" spans="5:26" x14ac:dyDescent="0.2">
      <c r="E720" s="29"/>
      <c r="F720" s="29"/>
      <c r="U720" s="29" t="s">
        <v>4416</v>
      </c>
      <c r="V720" s="29">
        <v>30862</v>
      </c>
      <c r="W720" s="29" t="s">
        <v>2994</v>
      </c>
      <c r="Y720" s="2" t="s">
        <v>1697</v>
      </c>
      <c r="Z720" s="2" t="s">
        <v>1697</v>
      </c>
    </row>
    <row r="721" spans="5:26" x14ac:dyDescent="0.2">
      <c r="E721" s="29"/>
      <c r="F721" s="29"/>
      <c r="U721" s="29" t="s">
        <v>4417</v>
      </c>
      <c r="V721" s="29">
        <v>30863</v>
      </c>
      <c r="W721" s="29" t="s">
        <v>2994</v>
      </c>
      <c r="Y721" s="2" t="s">
        <v>1698</v>
      </c>
      <c r="Z721" s="2" t="s">
        <v>1698</v>
      </c>
    </row>
    <row r="722" spans="5:26" x14ac:dyDescent="0.2">
      <c r="E722" s="29"/>
      <c r="F722" s="29"/>
      <c r="U722" s="29" t="s">
        <v>4418</v>
      </c>
      <c r="V722" s="29">
        <v>30864</v>
      </c>
      <c r="W722" s="29" t="s">
        <v>2994</v>
      </c>
      <c r="Y722" s="2" t="s">
        <v>1682</v>
      </c>
      <c r="Z722" s="2" t="s">
        <v>1682</v>
      </c>
    </row>
    <row r="723" spans="5:26" x14ac:dyDescent="0.2">
      <c r="E723" s="29"/>
      <c r="F723" s="29"/>
      <c r="U723" s="29" t="s">
        <v>4419</v>
      </c>
      <c r="V723" s="29">
        <v>30865</v>
      </c>
      <c r="W723" s="29" t="s">
        <v>2994</v>
      </c>
      <c r="Y723" s="2" t="s">
        <v>1683</v>
      </c>
      <c r="Z723" s="2" t="s">
        <v>1683</v>
      </c>
    </row>
    <row r="724" spans="5:26" x14ac:dyDescent="0.2">
      <c r="U724" s="29" t="s">
        <v>4420</v>
      </c>
      <c r="V724" s="29">
        <v>30866</v>
      </c>
      <c r="W724" s="29" t="s">
        <v>2994</v>
      </c>
      <c r="Y724" s="2" t="s">
        <v>1699</v>
      </c>
      <c r="Z724" s="2" t="s">
        <v>1699</v>
      </c>
    </row>
    <row r="725" spans="5:26" x14ac:dyDescent="0.2">
      <c r="U725" s="29" t="s">
        <v>4421</v>
      </c>
      <c r="V725" s="29">
        <v>30867</v>
      </c>
      <c r="W725" s="29" t="s">
        <v>2994</v>
      </c>
      <c r="Y725" s="2" t="s">
        <v>1700</v>
      </c>
      <c r="Z725" s="2" t="s">
        <v>1700</v>
      </c>
    </row>
    <row r="726" spans="5:26" x14ac:dyDescent="0.2">
      <c r="U726" s="29" t="s">
        <v>4422</v>
      </c>
      <c r="V726" s="29">
        <v>30868</v>
      </c>
      <c r="W726" s="29" t="s">
        <v>2994</v>
      </c>
      <c r="Y726" s="2" t="s">
        <v>1701</v>
      </c>
      <c r="Z726" s="2" t="s">
        <v>1701</v>
      </c>
    </row>
    <row r="727" spans="5:26" x14ac:dyDescent="0.2">
      <c r="U727" s="29" t="s">
        <v>4423</v>
      </c>
      <c r="V727" s="29">
        <v>30869</v>
      </c>
      <c r="W727" s="29" t="s">
        <v>2994</v>
      </c>
      <c r="Y727" s="2" t="s">
        <v>1563</v>
      </c>
      <c r="Z727" s="2" t="s">
        <v>1563</v>
      </c>
    </row>
    <row r="728" spans="5:26" x14ac:dyDescent="0.2">
      <c r="U728" s="29" t="s">
        <v>4423</v>
      </c>
      <c r="V728" s="29">
        <v>30870</v>
      </c>
      <c r="W728" s="29" t="s">
        <v>2994</v>
      </c>
      <c r="Y728" s="2" t="s">
        <v>1702</v>
      </c>
      <c r="Z728" s="2" t="s">
        <v>1702</v>
      </c>
    </row>
    <row r="729" spans="5:26" x14ac:dyDescent="0.2">
      <c r="U729" s="29" t="s">
        <v>4424</v>
      </c>
      <c r="V729" s="29">
        <v>30871</v>
      </c>
      <c r="W729" s="29" t="s">
        <v>2994</v>
      </c>
      <c r="Y729" s="2" t="s">
        <v>1703</v>
      </c>
      <c r="Z729" s="2" t="s">
        <v>1703</v>
      </c>
    </row>
    <row r="730" spans="5:26" x14ac:dyDescent="0.2">
      <c r="U730" s="29" t="s">
        <v>4425</v>
      </c>
      <c r="V730" s="29">
        <v>30872</v>
      </c>
      <c r="W730" s="29" t="s">
        <v>2994</v>
      </c>
      <c r="Y730" s="2" t="s">
        <v>1704</v>
      </c>
      <c r="Z730" s="2" t="s">
        <v>1704</v>
      </c>
    </row>
    <row r="731" spans="5:26" x14ac:dyDescent="0.2">
      <c r="U731" s="29" t="s">
        <v>4426</v>
      </c>
      <c r="V731" s="29">
        <v>30873</v>
      </c>
      <c r="W731" s="29" t="s">
        <v>2994</v>
      </c>
      <c r="Y731" s="2" t="s">
        <v>1705</v>
      </c>
      <c r="Z731" s="2" t="s">
        <v>1705</v>
      </c>
    </row>
    <row r="732" spans="5:26" x14ac:dyDescent="0.2">
      <c r="U732" s="29" t="s">
        <v>4427</v>
      </c>
      <c r="V732" s="29">
        <v>30874</v>
      </c>
      <c r="W732" s="29" t="s">
        <v>2994</v>
      </c>
      <c r="Y732" s="2" t="s">
        <v>1706</v>
      </c>
      <c r="Z732" s="2" t="s">
        <v>1706</v>
      </c>
    </row>
    <row r="733" spans="5:26" x14ac:dyDescent="0.2">
      <c r="U733" s="29" t="s">
        <v>4428</v>
      </c>
      <c r="V733" s="29">
        <v>30875</v>
      </c>
      <c r="W733" s="29" t="s">
        <v>2994</v>
      </c>
      <c r="Y733" s="2" t="s">
        <v>1707</v>
      </c>
      <c r="Z733" s="2" t="s">
        <v>1707</v>
      </c>
    </row>
    <row r="734" spans="5:26" x14ac:dyDescent="0.2">
      <c r="U734" s="29" t="s">
        <v>4429</v>
      </c>
      <c r="V734" s="29">
        <v>25340</v>
      </c>
      <c r="W734" s="29" t="s">
        <v>2994</v>
      </c>
      <c r="Y734" s="2" t="s">
        <v>1708</v>
      </c>
      <c r="Z734" s="2" t="s">
        <v>1708</v>
      </c>
    </row>
    <row r="735" spans="5:26" x14ac:dyDescent="0.2">
      <c r="U735" s="29" t="s">
        <v>4430</v>
      </c>
      <c r="V735" s="29">
        <v>30854</v>
      </c>
      <c r="W735" s="29" t="s">
        <v>2994</v>
      </c>
      <c r="Y735" s="2" t="s">
        <v>1709</v>
      </c>
      <c r="Z735" s="2" t="s">
        <v>1709</v>
      </c>
    </row>
    <row r="736" spans="5:26" x14ac:dyDescent="0.2">
      <c r="U736" s="29" t="s">
        <v>4431</v>
      </c>
      <c r="V736" s="29">
        <v>30888</v>
      </c>
      <c r="W736" s="29" t="s">
        <v>2994</v>
      </c>
      <c r="Y736" s="2" t="s">
        <v>703</v>
      </c>
      <c r="Z736" s="2" t="s">
        <v>703</v>
      </c>
    </row>
    <row r="737" spans="21:26" x14ac:dyDescent="0.2">
      <c r="U737" s="29" t="s">
        <v>4432</v>
      </c>
      <c r="V737" s="29">
        <v>29257</v>
      </c>
      <c r="W737" s="29" t="s">
        <v>2994</v>
      </c>
      <c r="Y737" s="2" t="s">
        <v>1710</v>
      </c>
      <c r="Z737" s="2" t="s">
        <v>1710</v>
      </c>
    </row>
    <row r="738" spans="21:26" x14ac:dyDescent="0.2">
      <c r="U738" s="29" t="s">
        <v>4433</v>
      </c>
      <c r="V738" s="29">
        <v>29254</v>
      </c>
      <c r="W738" s="29" t="s">
        <v>2994</v>
      </c>
      <c r="Y738" s="2" t="s">
        <v>1711</v>
      </c>
      <c r="Z738" s="2" t="s">
        <v>1711</v>
      </c>
    </row>
    <row r="739" spans="21:26" x14ac:dyDescent="0.2">
      <c r="U739" s="29" t="s">
        <v>4434</v>
      </c>
      <c r="V739" s="29">
        <v>29255</v>
      </c>
      <c r="W739" s="29" t="s">
        <v>2994</v>
      </c>
      <c r="Y739" s="2" t="s">
        <v>1712</v>
      </c>
      <c r="Z739" s="2" t="s">
        <v>1712</v>
      </c>
    </row>
    <row r="740" spans="21:26" x14ac:dyDescent="0.2">
      <c r="U740" s="29" t="s">
        <v>4435</v>
      </c>
      <c r="V740" s="29">
        <v>29256</v>
      </c>
      <c r="W740" s="29" t="s">
        <v>2994</v>
      </c>
      <c r="Y740" s="2" t="s">
        <v>1713</v>
      </c>
      <c r="Z740" s="2" t="s">
        <v>1713</v>
      </c>
    </row>
    <row r="741" spans="21:26" x14ac:dyDescent="0.2">
      <c r="U741" s="29" t="s">
        <v>4436</v>
      </c>
      <c r="V741" s="29">
        <v>30197</v>
      </c>
      <c r="W741" s="29" t="s">
        <v>2994</v>
      </c>
      <c r="Y741" s="2" t="s">
        <v>1714</v>
      </c>
      <c r="Z741" s="2" t="s">
        <v>1714</v>
      </c>
    </row>
    <row r="742" spans="21:26" x14ac:dyDescent="0.2">
      <c r="U742" s="29" t="s">
        <v>4437</v>
      </c>
      <c r="V742" s="29">
        <v>30194</v>
      </c>
      <c r="W742" s="29" t="s">
        <v>2994</v>
      </c>
      <c r="Y742" s="2" t="s">
        <v>1715</v>
      </c>
      <c r="Z742" s="2" t="s">
        <v>1715</v>
      </c>
    </row>
    <row r="743" spans="21:26" x14ac:dyDescent="0.2">
      <c r="U743" s="29" t="s">
        <v>4438</v>
      </c>
      <c r="V743" s="29">
        <v>30195</v>
      </c>
      <c r="W743" s="29" t="s">
        <v>2994</v>
      </c>
      <c r="Y743" s="2" t="s">
        <v>1716</v>
      </c>
      <c r="Z743" s="2" t="s">
        <v>1716</v>
      </c>
    </row>
    <row r="744" spans="21:26" x14ac:dyDescent="0.2">
      <c r="U744" s="29" t="s">
        <v>4439</v>
      </c>
      <c r="V744" s="29">
        <v>30196</v>
      </c>
      <c r="W744" s="29" t="s">
        <v>2994</v>
      </c>
      <c r="Y744" s="2" t="s">
        <v>393</v>
      </c>
      <c r="Z744" s="2" t="s">
        <v>393</v>
      </c>
    </row>
    <row r="745" spans="21:26" x14ac:dyDescent="0.2">
      <c r="U745" s="29" t="s">
        <v>4440</v>
      </c>
      <c r="V745" s="29">
        <v>24646</v>
      </c>
      <c r="W745" s="29" t="s">
        <v>2994</v>
      </c>
      <c r="Y745" s="2" t="s">
        <v>1717</v>
      </c>
      <c r="Z745" s="2" t="s">
        <v>1717</v>
      </c>
    </row>
    <row r="746" spans="21:26" x14ac:dyDescent="0.2">
      <c r="U746" s="29" t="s">
        <v>4440</v>
      </c>
      <c r="V746" s="29">
        <v>24647</v>
      </c>
      <c r="W746" s="29" t="s">
        <v>2994</v>
      </c>
      <c r="Y746" s="2" t="s">
        <v>234</v>
      </c>
      <c r="Z746" s="2" t="s">
        <v>234</v>
      </c>
    </row>
    <row r="747" spans="21:26" x14ac:dyDescent="0.2">
      <c r="U747" s="29" t="s">
        <v>4441</v>
      </c>
      <c r="V747" s="29">
        <v>24648</v>
      </c>
      <c r="W747" s="29" t="s">
        <v>2994</v>
      </c>
      <c r="Y747" s="2" t="s">
        <v>1718</v>
      </c>
      <c r="Z747" s="2" t="s">
        <v>1718</v>
      </c>
    </row>
    <row r="748" spans="21:26" x14ac:dyDescent="0.2">
      <c r="U748" s="29" t="s">
        <v>4442</v>
      </c>
      <c r="V748" s="29">
        <v>24649</v>
      </c>
      <c r="W748" s="29" t="s">
        <v>2994</v>
      </c>
      <c r="Y748" s="2" t="s">
        <v>1719</v>
      </c>
      <c r="Z748" s="2" t="s">
        <v>1719</v>
      </c>
    </row>
    <row r="749" spans="21:26" x14ac:dyDescent="0.2">
      <c r="U749" s="29" t="s">
        <v>4443</v>
      </c>
      <c r="V749" s="29">
        <v>24650</v>
      </c>
      <c r="W749" s="29" t="s">
        <v>2994</v>
      </c>
      <c r="Y749" s="2" t="s">
        <v>1720</v>
      </c>
      <c r="Z749" s="2" t="s">
        <v>1720</v>
      </c>
    </row>
    <row r="750" spans="21:26" x14ac:dyDescent="0.2">
      <c r="U750" s="29" t="s">
        <v>4444</v>
      </c>
      <c r="V750" s="29">
        <v>24651</v>
      </c>
      <c r="W750" s="29" t="s">
        <v>2994</v>
      </c>
      <c r="Y750" s="2" t="s">
        <v>1721</v>
      </c>
      <c r="Z750" s="2" t="s">
        <v>1721</v>
      </c>
    </row>
    <row r="751" spans="21:26" x14ac:dyDescent="0.2">
      <c r="U751" s="29" t="s">
        <v>4445</v>
      </c>
      <c r="V751" s="29">
        <v>24652</v>
      </c>
      <c r="W751" s="29" t="s">
        <v>2994</v>
      </c>
      <c r="Y751" s="2" t="s">
        <v>1722</v>
      </c>
      <c r="Z751" s="2" t="s">
        <v>1722</v>
      </c>
    </row>
    <row r="752" spans="21:26" x14ac:dyDescent="0.2">
      <c r="U752" s="29" t="s">
        <v>4446</v>
      </c>
      <c r="V752" s="29">
        <v>24500</v>
      </c>
      <c r="W752" s="29" t="s">
        <v>2994</v>
      </c>
      <c r="Y752" s="2" t="s">
        <v>26</v>
      </c>
      <c r="Z752" s="2" t="s">
        <v>26</v>
      </c>
    </row>
    <row r="753" spans="21:26" x14ac:dyDescent="0.2">
      <c r="U753" s="29" t="s">
        <v>4446</v>
      </c>
      <c r="V753" s="29">
        <v>24780</v>
      </c>
      <c r="W753" s="29" t="s">
        <v>2994</v>
      </c>
      <c r="Y753" s="2" t="s">
        <v>1723</v>
      </c>
      <c r="Z753" s="2" t="s">
        <v>1723</v>
      </c>
    </row>
    <row r="754" spans="21:26" x14ac:dyDescent="0.2">
      <c r="U754" s="29" t="s">
        <v>4447</v>
      </c>
      <c r="V754" s="29">
        <v>27680</v>
      </c>
      <c r="W754" s="29" t="s">
        <v>2994</v>
      </c>
      <c r="Y754" s="2" t="s">
        <v>1724</v>
      </c>
      <c r="Z754" s="2" t="s">
        <v>1724</v>
      </c>
    </row>
    <row r="755" spans="21:26" x14ac:dyDescent="0.2">
      <c r="U755" s="29" t="s">
        <v>4448</v>
      </c>
      <c r="V755" s="29">
        <v>27681</v>
      </c>
      <c r="W755" s="29" t="s">
        <v>2994</v>
      </c>
      <c r="Y755" s="2" t="s">
        <v>712</v>
      </c>
      <c r="Z755" s="2" t="s">
        <v>712</v>
      </c>
    </row>
    <row r="756" spans="21:26" x14ac:dyDescent="0.2">
      <c r="U756" s="29" t="s">
        <v>4449</v>
      </c>
      <c r="V756" s="29">
        <v>27682</v>
      </c>
      <c r="W756" s="29" t="s">
        <v>2994</v>
      </c>
      <c r="Y756" s="2" t="s">
        <v>1725</v>
      </c>
      <c r="Z756" s="2" t="s">
        <v>1725</v>
      </c>
    </row>
    <row r="757" spans="21:26" x14ac:dyDescent="0.2">
      <c r="U757" s="29" t="s">
        <v>4450</v>
      </c>
      <c r="V757" s="29">
        <v>27683</v>
      </c>
      <c r="W757" s="29" t="s">
        <v>2994</v>
      </c>
      <c r="Y757" s="2" t="s">
        <v>713</v>
      </c>
      <c r="Z757" s="2" t="s">
        <v>713</v>
      </c>
    </row>
    <row r="758" spans="21:26" x14ac:dyDescent="0.2">
      <c r="U758" s="29" t="s">
        <v>4451</v>
      </c>
      <c r="V758" s="29">
        <v>29746</v>
      </c>
      <c r="W758" s="29" t="s">
        <v>2994</v>
      </c>
      <c r="Y758" s="2" t="s">
        <v>1726</v>
      </c>
      <c r="Z758" s="2" t="s">
        <v>1726</v>
      </c>
    </row>
    <row r="759" spans="21:26" x14ac:dyDescent="0.2">
      <c r="U759" s="29" t="s">
        <v>4452</v>
      </c>
      <c r="V759" s="29">
        <v>29747</v>
      </c>
      <c r="W759" s="29" t="s">
        <v>2994</v>
      </c>
      <c r="Y759" s="2" t="s">
        <v>1727</v>
      </c>
      <c r="Z759" s="2" t="s">
        <v>1727</v>
      </c>
    </row>
    <row r="760" spans="21:26" x14ac:dyDescent="0.2">
      <c r="U760" s="29" t="s">
        <v>4453</v>
      </c>
      <c r="V760" s="29">
        <v>29748</v>
      </c>
      <c r="W760" s="29" t="s">
        <v>2994</v>
      </c>
      <c r="Y760" s="2" t="s">
        <v>1728</v>
      </c>
      <c r="Z760" s="2" t="s">
        <v>1728</v>
      </c>
    </row>
    <row r="761" spans="21:26" x14ac:dyDescent="0.2">
      <c r="U761" s="29" t="s">
        <v>4454</v>
      </c>
      <c r="V761" s="29">
        <v>29749</v>
      </c>
      <c r="W761" s="29" t="s">
        <v>2994</v>
      </c>
      <c r="Y761" s="2" t="s">
        <v>1730</v>
      </c>
      <c r="Z761" s="2" t="s">
        <v>1730</v>
      </c>
    </row>
    <row r="762" spans="21:26" x14ac:dyDescent="0.2">
      <c r="U762" s="29" t="s">
        <v>4455</v>
      </c>
      <c r="V762" s="29">
        <v>24640</v>
      </c>
      <c r="W762" s="29" t="s">
        <v>2994</v>
      </c>
      <c r="Y762" s="2" t="s">
        <v>1731</v>
      </c>
      <c r="Z762" s="2" t="s">
        <v>1731</v>
      </c>
    </row>
    <row r="763" spans="21:26" x14ac:dyDescent="0.2">
      <c r="U763" s="29" t="s">
        <v>4456</v>
      </c>
      <c r="V763" s="29">
        <v>24643</v>
      </c>
      <c r="W763" s="29" t="s">
        <v>2994</v>
      </c>
      <c r="Y763" s="2" t="s">
        <v>715</v>
      </c>
      <c r="Z763" s="2" t="s">
        <v>715</v>
      </c>
    </row>
    <row r="764" spans="21:26" x14ac:dyDescent="0.2">
      <c r="U764" s="29" t="s">
        <v>4456</v>
      </c>
      <c r="V764" s="29">
        <v>24641</v>
      </c>
      <c r="W764" s="29" t="s">
        <v>2994</v>
      </c>
      <c r="Y764" s="2" t="s">
        <v>716</v>
      </c>
      <c r="Z764" s="2" t="s">
        <v>716</v>
      </c>
    </row>
    <row r="765" spans="21:26" x14ac:dyDescent="0.2">
      <c r="U765" s="29" t="s">
        <v>4457</v>
      </c>
      <c r="V765" s="29">
        <v>30575</v>
      </c>
      <c r="W765" s="29" t="s">
        <v>2994</v>
      </c>
      <c r="Y765" s="2" t="s">
        <v>1743</v>
      </c>
      <c r="Z765" s="2" t="s">
        <v>1743</v>
      </c>
    </row>
    <row r="766" spans="21:26" x14ac:dyDescent="0.2">
      <c r="U766" s="29" t="s">
        <v>4458</v>
      </c>
      <c r="V766" s="29">
        <v>30574</v>
      </c>
      <c r="W766" s="29" t="s">
        <v>2994</v>
      </c>
      <c r="Y766" s="2" t="s">
        <v>1744</v>
      </c>
      <c r="Z766" s="2" t="s">
        <v>1744</v>
      </c>
    </row>
    <row r="767" spans="21:26" x14ac:dyDescent="0.2">
      <c r="U767" s="29" t="s">
        <v>4459</v>
      </c>
      <c r="V767" s="29">
        <v>24642</v>
      </c>
      <c r="W767" s="29" t="s">
        <v>2994</v>
      </c>
      <c r="Y767" s="2" t="s">
        <v>721</v>
      </c>
      <c r="Z767" s="2" t="s">
        <v>721</v>
      </c>
    </row>
    <row r="768" spans="21:26" x14ac:dyDescent="0.2">
      <c r="U768" s="29" t="s">
        <v>4459</v>
      </c>
      <c r="V768" s="29">
        <v>24644</v>
      </c>
      <c r="W768" s="29" t="s">
        <v>2994</v>
      </c>
      <c r="Y768" s="2" t="s">
        <v>1732</v>
      </c>
      <c r="Z768" s="2" t="s">
        <v>1732</v>
      </c>
    </row>
    <row r="769" spans="21:26" x14ac:dyDescent="0.2">
      <c r="U769" s="29" t="s">
        <v>4460</v>
      </c>
      <c r="V769" s="29">
        <v>24645</v>
      </c>
      <c r="W769" s="29" t="s">
        <v>2994</v>
      </c>
      <c r="Y769" s="2" t="s">
        <v>1733</v>
      </c>
      <c r="Z769" s="2" t="s">
        <v>1733</v>
      </c>
    </row>
    <row r="770" spans="21:26" x14ac:dyDescent="0.2">
      <c r="U770" s="29" t="s">
        <v>4461</v>
      </c>
      <c r="V770" s="29">
        <v>23900</v>
      </c>
      <c r="W770" s="29" t="s">
        <v>2994</v>
      </c>
      <c r="Y770" s="2" t="s">
        <v>1734</v>
      </c>
      <c r="Z770" s="2" t="s">
        <v>1734</v>
      </c>
    </row>
    <row r="771" spans="21:26" x14ac:dyDescent="0.2">
      <c r="U771" s="29" t="s">
        <v>4462</v>
      </c>
      <c r="V771" s="29">
        <v>23901</v>
      </c>
      <c r="W771" s="29" t="s">
        <v>2994</v>
      </c>
      <c r="Y771" s="2" t="s">
        <v>1735</v>
      </c>
      <c r="Z771" s="2" t="s">
        <v>1735</v>
      </c>
    </row>
    <row r="772" spans="21:26" x14ac:dyDescent="0.2">
      <c r="U772" s="29" t="s">
        <v>4463</v>
      </c>
      <c r="V772" s="29">
        <v>23902</v>
      </c>
      <c r="W772" s="29" t="s">
        <v>2994</v>
      </c>
      <c r="Y772" s="2" t="s">
        <v>1736</v>
      </c>
      <c r="Z772" s="2" t="s">
        <v>1736</v>
      </c>
    </row>
    <row r="773" spans="21:26" x14ac:dyDescent="0.2">
      <c r="U773" s="29" t="s">
        <v>4464</v>
      </c>
      <c r="V773" s="29">
        <v>23903</v>
      </c>
      <c r="W773" s="29" t="s">
        <v>2994</v>
      </c>
      <c r="Y773" s="2" t="s">
        <v>1737</v>
      </c>
      <c r="Z773" s="2" t="s">
        <v>1737</v>
      </c>
    </row>
    <row r="774" spans="21:26" x14ac:dyDescent="0.2">
      <c r="U774" s="29" t="s">
        <v>4465</v>
      </c>
      <c r="V774" s="29">
        <v>23904</v>
      </c>
      <c r="W774" s="29" t="s">
        <v>2994</v>
      </c>
      <c r="Y774" s="2" t="s">
        <v>1738</v>
      </c>
      <c r="Z774" s="2" t="s">
        <v>1738</v>
      </c>
    </row>
    <row r="775" spans="21:26" x14ac:dyDescent="0.2">
      <c r="U775" s="29" t="s">
        <v>4466</v>
      </c>
      <c r="V775" s="29">
        <v>23905</v>
      </c>
      <c r="W775" s="29" t="s">
        <v>2994</v>
      </c>
      <c r="Y775" s="2" t="s">
        <v>1739</v>
      </c>
      <c r="Z775" s="2" t="s">
        <v>1739</v>
      </c>
    </row>
    <row r="776" spans="21:26" x14ac:dyDescent="0.2">
      <c r="U776" s="29" t="s">
        <v>4467</v>
      </c>
      <c r="V776" s="29">
        <v>23960</v>
      </c>
      <c r="W776" s="29" t="s">
        <v>2994</v>
      </c>
      <c r="Y776" s="2" t="s">
        <v>252</v>
      </c>
      <c r="Z776" s="2" t="s">
        <v>252</v>
      </c>
    </row>
    <row r="777" spans="21:26" x14ac:dyDescent="0.2">
      <c r="U777" s="29" t="s">
        <v>4468</v>
      </c>
      <c r="V777" s="29">
        <v>23961</v>
      </c>
      <c r="W777" s="29" t="s">
        <v>2994</v>
      </c>
      <c r="Y777" s="2" t="s">
        <v>1740</v>
      </c>
      <c r="Z777" s="2" t="s">
        <v>1740</v>
      </c>
    </row>
    <row r="778" spans="21:26" x14ac:dyDescent="0.2">
      <c r="U778" s="29" t="s">
        <v>4469</v>
      </c>
      <c r="V778" s="29">
        <v>23962</v>
      </c>
      <c r="W778" s="29" t="s">
        <v>2994</v>
      </c>
      <c r="Y778" s="2" t="s">
        <v>1741</v>
      </c>
      <c r="Z778" s="2" t="s">
        <v>1741</v>
      </c>
    </row>
    <row r="779" spans="21:26" x14ac:dyDescent="0.2">
      <c r="U779" s="29" t="s">
        <v>4470</v>
      </c>
      <c r="V779" s="29">
        <v>23963</v>
      </c>
      <c r="W779" s="29" t="s">
        <v>2994</v>
      </c>
      <c r="Y779" s="2" t="s">
        <v>1742</v>
      </c>
      <c r="Z779" s="2" t="s">
        <v>1742</v>
      </c>
    </row>
    <row r="780" spans="21:26" x14ac:dyDescent="0.2">
      <c r="U780" s="29" t="s">
        <v>4471</v>
      </c>
      <c r="V780" s="29">
        <v>23996</v>
      </c>
      <c r="W780" s="29" t="s">
        <v>2994</v>
      </c>
      <c r="Y780" s="2" t="s">
        <v>253</v>
      </c>
      <c r="Z780" s="2" t="s">
        <v>253</v>
      </c>
    </row>
    <row r="781" spans="21:26" x14ac:dyDescent="0.2">
      <c r="U781" s="29" t="s">
        <v>4472</v>
      </c>
      <c r="V781" s="29">
        <v>25500</v>
      </c>
      <c r="W781" s="29" t="s">
        <v>2994</v>
      </c>
      <c r="Y781" s="2" t="s">
        <v>207</v>
      </c>
      <c r="Z781" s="2" t="s">
        <v>207</v>
      </c>
    </row>
    <row r="782" spans="21:26" x14ac:dyDescent="0.2">
      <c r="U782" s="29" t="s">
        <v>4473</v>
      </c>
      <c r="V782" s="29">
        <v>23906</v>
      </c>
      <c r="W782" s="29" t="s">
        <v>2994</v>
      </c>
      <c r="Y782" s="2" t="s">
        <v>1729</v>
      </c>
      <c r="Z782" s="2" t="s">
        <v>1729</v>
      </c>
    </row>
    <row r="783" spans="21:26" x14ac:dyDescent="0.2">
      <c r="U783" s="29" t="s">
        <v>4474</v>
      </c>
      <c r="V783" s="29">
        <v>23907</v>
      </c>
      <c r="W783" s="29" t="s">
        <v>2994</v>
      </c>
      <c r="Y783" s="2" t="s">
        <v>714</v>
      </c>
      <c r="Z783" s="2" t="s">
        <v>714</v>
      </c>
    </row>
    <row r="784" spans="21:26" x14ac:dyDescent="0.2">
      <c r="U784" s="29" t="s">
        <v>4475</v>
      </c>
      <c r="V784" s="29">
        <v>23908</v>
      </c>
      <c r="W784" s="29" t="s">
        <v>2994</v>
      </c>
      <c r="Y784" s="2" t="s">
        <v>13</v>
      </c>
      <c r="Z784" s="2" t="s">
        <v>13</v>
      </c>
    </row>
    <row r="785" spans="21:26" x14ac:dyDescent="0.2">
      <c r="U785" s="29" t="s">
        <v>4476</v>
      </c>
      <c r="V785" s="29">
        <v>23909</v>
      </c>
      <c r="W785" s="29" t="s">
        <v>2994</v>
      </c>
      <c r="Y785" s="2" t="s">
        <v>2733</v>
      </c>
      <c r="Z785" s="2" t="s">
        <v>2733</v>
      </c>
    </row>
    <row r="786" spans="21:26" x14ac:dyDescent="0.2">
      <c r="U786" s="29" t="s">
        <v>4477</v>
      </c>
      <c r="V786" s="29">
        <v>23910</v>
      </c>
      <c r="W786" s="29" t="s">
        <v>2994</v>
      </c>
      <c r="Y786" s="2" t="s">
        <v>2731</v>
      </c>
      <c r="Z786" s="2" t="s">
        <v>2731</v>
      </c>
    </row>
    <row r="787" spans="21:26" x14ac:dyDescent="0.2">
      <c r="U787" s="29" t="s">
        <v>4478</v>
      </c>
      <c r="V787" s="29">
        <v>23911</v>
      </c>
      <c r="W787" s="29" t="s">
        <v>2994</v>
      </c>
      <c r="Y787" s="2" t="s">
        <v>2730</v>
      </c>
      <c r="Z787" s="2" t="s">
        <v>2730</v>
      </c>
    </row>
    <row r="788" spans="21:26" x14ac:dyDescent="0.2">
      <c r="U788" s="29" t="s">
        <v>4479</v>
      </c>
      <c r="V788" s="29">
        <v>23964</v>
      </c>
      <c r="W788" s="29" t="s">
        <v>2994</v>
      </c>
      <c r="Y788" s="2" t="s">
        <v>2729</v>
      </c>
      <c r="Z788" s="2" t="s">
        <v>2729</v>
      </c>
    </row>
    <row r="789" spans="21:26" x14ac:dyDescent="0.2">
      <c r="U789" s="29" t="s">
        <v>4480</v>
      </c>
      <c r="V789" s="29">
        <v>23965</v>
      </c>
      <c r="W789" s="29" t="s">
        <v>2994</v>
      </c>
      <c r="Y789" s="2" t="s">
        <v>2732</v>
      </c>
      <c r="Z789" s="2" t="s">
        <v>2732</v>
      </c>
    </row>
    <row r="790" spans="21:26" x14ac:dyDescent="0.2">
      <c r="U790" s="29" t="s">
        <v>4481</v>
      </c>
      <c r="V790" s="29">
        <v>23966</v>
      </c>
      <c r="W790" s="29" t="s">
        <v>2994</v>
      </c>
      <c r="Y790" s="2" t="s">
        <v>700</v>
      </c>
      <c r="Z790" s="2" t="s">
        <v>700</v>
      </c>
    </row>
    <row r="791" spans="21:26" x14ac:dyDescent="0.2">
      <c r="U791" s="29" t="s">
        <v>4482</v>
      </c>
      <c r="V791" s="29">
        <v>23967</v>
      </c>
      <c r="W791" s="29" t="s">
        <v>2994</v>
      </c>
      <c r="Y791" s="2" t="s">
        <v>2721</v>
      </c>
      <c r="Z791" s="2" t="s">
        <v>2721</v>
      </c>
    </row>
    <row r="792" spans="21:26" x14ac:dyDescent="0.2">
      <c r="U792" s="29" t="s">
        <v>4483</v>
      </c>
      <c r="V792" s="29">
        <v>23997</v>
      </c>
      <c r="W792" s="29" t="s">
        <v>2994</v>
      </c>
      <c r="Y792" s="2" t="s">
        <v>2975</v>
      </c>
      <c r="Z792" s="2" t="s">
        <v>2975</v>
      </c>
    </row>
    <row r="793" spans="21:26" x14ac:dyDescent="0.2">
      <c r="U793" s="29" t="s">
        <v>4484</v>
      </c>
      <c r="V793" s="29">
        <v>24521</v>
      </c>
      <c r="W793" s="29" t="s">
        <v>2994</v>
      </c>
      <c r="Y793" s="2" t="s">
        <v>2976</v>
      </c>
      <c r="Z793" s="2" t="s">
        <v>2976</v>
      </c>
    </row>
    <row r="794" spans="21:26" x14ac:dyDescent="0.2">
      <c r="U794" s="29" t="s">
        <v>4485</v>
      </c>
      <c r="V794" s="29">
        <v>30774</v>
      </c>
      <c r="W794" s="29" t="s">
        <v>2994</v>
      </c>
      <c r="Y794" s="2" t="s">
        <v>2977</v>
      </c>
      <c r="Z794" s="2" t="s">
        <v>2977</v>
      </c>
    </row>
    <row r="795" spans="21:26" x14ac:dyDescent="0.2">
      <c r="U795" s="29" t="s">
        <v>4486</v>
      </c>
      <c r="V795" s="29">
        <v>31115</v>
      </c>
      <c r="W795" s="29" t="s">
        <v>2994</v>
      </c>
      <c r="Y795" s="2" t="s">
        <v>2978</v>
      </c>
      <c r="Z795" s="2" t="s">
        <v>2978</v>
      </c>
    </row>
    <row r="796" spans="21:26" x14ac:dyDescent="0.2">
      <c r="U796" s="29" t="s">
        <v>4487</v>
      </c>
      <c r="V796" s="29">
        <v>31116</v>
      </c>
      <c r="W796" s="29" t="s">
        <v>2994</v>
      </c>
      <c r="Y796" s="2" t="s">
        <v>2979</v>
      </c>
      <c r="Z796" s="2" t="s">
        <v>2979</v>
      </c>
    </row>
    <row r="797" spans="21:26" x14ac:dyDescent="0.2">
      <c r="U797" s="29" t="s">
        <v>4488</v>
      </c>
      <c r="V797" s="29">
        <v>23912</v>
      </c>
      <c r="W797" s="29" t="s">
        <v>2994</v>
      </c>
      <c r="Y797" s="2" t="s">
        <v>2980</v>
      </c>
      <c r="Z797" s="2" t="s">
        <v>2980</v>
      </c>
    </row>
    <row r="798" spans="21:26" x14ac:dyDescent="0.2">
      <c r="U798" s="29" t="s">
        <v>4489</v>
      </c>
      <c r="V798" s="29">
        <v>23913</v>
      </c>
      <c r="W798" s="29" t="s">
        <v>2994</v>
      </c>
      <c r="Y798" s="2" t="s">
        <v>2981</v>
      </c>
      <c r="Z798" s="2" t="s">
        <v>2981</v>
      </c>
    </row>
    <row r="799" spans="21:26" x14ac:dyDescent="0.2">
      <c r="U799" s="29" t="s">
        <v>4490</v>
      </c>
      <c r="V799" s="29">
        <v>23914</v>
      </c>
      <c r="W799" s="29" t="s">
        <v>2994</v>
      </c>
      <c r="Y799" s="2" t="s">
        <v>2982</v>
      </c>
      <c r="Z799" s="2" t="s">
        <v>2982</v>
      </c>
    </row>
    <row r="800" spans="21:26" x14ac:dyDescent="0.2">
      <c r="U800" s="29" t="s">
        <v>4491</v>
      </c>
      <c r="V800" s="29">
        <v>23915</v>
      </c>
      <c r="W800" s="29" t="s">
        <v>2994</v>
      </c>
      <c r="Y800" s="2" t="s">
        <v>3537</v>
      </c>
      <c r="Z800" s="2" t="s">
        <v>3537</v>
      </c>
    </row>
    <row r="801" spans="21:26" x14ac:dyDescent="0.2">
      <c r="U801" s="29" t="s">
        <v>4492</v>
      </c>
      <c r="V801" s="29">
        <v>23916</v>
      </c>
      <c r="W801" s="29" t="s">
        <v>2994</v>
      </c>
      <c r="Y801" s="2" t="s">
        <v>2983</v>
      </c>
      <c r="Z801" s="2" t="s">
        <v>2983</v>
      </c>
    </row>
    <row r="802" spans="21:26" x14ac:dyDescent="0.2">
      <c r="U802" s="29" t="s">
        <v>4493</v>
      </c>
      <c r="V802" s="29">
        <v>23917</v>
      </c>
      <c r="W802" s="29" t="s">
        <v>2994</v>
      </c>
      <c r="Y802" s="2" t="s">
        <v>2984</v>
      </c>
      <c r="Z802" s="2" t="s">
        <v>2984</v>
      </c>
    </row>
    <row r="803" spans="21:26" x14ac:dyDescent="0.2">
      <c r="U803" s="29" t="s">
        <v>4494</v>
      </c>
      <c r="V803" s="29">
        <v>24502</v>
      </c>
      <c r="W803" s="29" t="s">
        <v>2994</v>
      </c>
      <c r="Y803" s="2" t="s">
        <v>2985</v>
      </c>
      <c r="Z803" s="2" t="s">
        <v>2985</v>
      </c>
    </row>
    <row r="804" spans="21:26" x14ac:dyDescent="0.2">
      <c r="U804" s="29" t="s">
        <v>4495</v>
      </c>
      <c r="V804" s="29">
        <v>23968</v>
      </c>
      <c r="W804" s="29" t="s">
        <v>2994</v>
      </c>
      <c r="Y804" s="2" t="s">
        <v>2986</v>
      </c>
      <c r="Z804" s="2" t="s">
        <v>2986</v>
      </c>
    </row>
    <row r="805" spans="21:26" x14ac:dyDescent="0.2">
      <c r="U805" s="29" t="s">
        <v>4496</v>
      </c>
      <c r="V805" s="29">
        <v>23969</v>
      </c>
      <c r="W805" s="29" t="s">
        <v>2994</v>
      </c>
      <c r="Y805" s="2" t="s">
        <v>3538</v>
      </c>
      <c r="Z805" s="2" t="s">
        <v>3538</v>
      </c>
    </row>
    <row r="806" spans="21:26" x14ac:dyDescent="0.2">
      <c r="U806" s="29" t="s">
        <v>4497</v>
      </c>
      <c r="V806" s="29">
        <v>23970</v>
      </c>
      <c r="W806" s="29" t="s">
        <v>2994</v>
      </c>
      <c r="Y806" s="2" t="s">
        <v>2987</v>
      </c>
      <c r="Z806" s="2" t="s">
        <v>2987</v>
      </c>
    </row>
    <row r="807" spans="21:26" x14ac:dyDescent="0.2">
      <c r="U807" s="29" t="s">
        <v>4498</v>
      </c>
      <c r="V807" s="29">
        <v>23971</v>
      </c>
      <c r="W807" s="29" t="s">
        <v>2994</v>
      </c>
      <c r="Y807" s="2" t="s">
        <v>2988</v>
      </c>
      <c r="Z807" s="2" t="s">
        <v>2988</v>
      </c>
    </row>
    <row r="808" spans="21:26" x14ac:dyDescent="0.2">
      <c r="U808" s="29" t="s">
        <v>4499</v>
      </c>
      <c r="V808" s="29">
        <v>23998</v>
      </c>
      <c r="W808" s="29" t="s">
        <v>2994</v>
      </c>
      <c r="Y808" s="2" t="s">
        <v>2989</v>
      </c>
      <c r="Z808" s="2" t="s">
        <v>2989</v>
      </c>
    </row>
    <row r="809" spans="21:26" x14ac:dyDescent="0.2">
      <c r="U809" s="29" t="s">
        <v>4500</v>
      </c>
      <c r="V809" s="29">
        <v>30775</v>
      </c>
      <c r="W809" s="29" t="s">
        <v>2994</v>
      </c>
      <c r="Y809" s="2" t="s">
        <v>2990</v>
      </c>
      <c r="Z809" s="2" t="s">
        <v>2990</v>
      </c>
    </row>
    <row r="810" spans="21:26" x14ac:dyDescent="0.2">
      <c r="U810" s="29" t="s">
        <v>4500</v>
      </c>
      <c r="V810" s="29">
        <v>24501</v>
      </c>
      <c r="W810" s="29" t="s">
        <v>2994</v>
      </c>
      <c r="Y810" s="2" t="s">
        <v>3084</v>
      </c>
      <c r="Z810" s="2" t="s">
        <v>3084</v>
      </c>
    </row>
    <row r="811" spans="21:26" x14ac:dyDescent="0.2">
      <c r="U811" s="29" t="s">
        <v>4501</v>
      </c>
      <c r="V811" s="29">
        <v>27684</v>
      </c>
      <c r="W811" s="29" t="s">
        <v>2994</v>
      </c>
      <c r="Y811" s="2" t="s">
        <v>3428</v>
      </c>
      <c r="Z811" s="2" t="s">
        <v>3428</v>
      </c>
    </row>
    <row r="812" spans="21:26" x14ac:dyDescent="0.2">
      <c r="U812" s="29" t="s">
        <v>4502</v>
      </c>
      <c r="V812" s="29">
        <v>27685</v>
      </c>
      <c r="W812" s="29" t="s">
        <v>2994</v>
      </c>
      <c r="Y812" s="2" t="s">
        <v>3637</v>
      </c>
      <c r="Z812" s="2" t="s">
        <v>3637</v>
      </c>
    </row>
    <row r="813" spans="21:26" x14ac:dyDescent="0.2">
      <c r="U813" s="29" t="s">
        <v>4503</v>
      </c>
      <c r="V813" s="29">
        <v>27686</v>
      </c>
      <c r="W813" s="29" t="s">
        <v>2994</v>
      </c>
      <c r="Y813" s="2" t="s">
        <v>3539</v>
      </c>
      <c r="Z813" s="2" t="s">
        <v>3539</v>
      </c>
    </row>
    <row r="814" spans="21:26" x14ac:dyDescent="0.2">
      <c r="U814" s="29" t="s">
        <v>4504</v>
      </c>
      <c r="V814" s="29">
        <v>27687</v>
      </c>
      <c r="W814" s="29" t="s">
        <v>2994</v>
      </c>
      <c r="Y814" s="2" t="s">
        <v>2991</v>
      </c>
      <c r="Z814" s="2" t="s">
        <v>2991</v>
      </c>
    </row>
    <row r="815" spans="21:26" x14ac:dyDescent="0.2">
      <c r="U815" s="29" t="s">
        <v>4505</v>
      </c>
      <c r="V815" s="29">
        <v>29742</v>
      </c>
      <c r="W815" s="29" t="s">
        <v>2994</v>
      </c>
      <c r="Y815" s="2" t="s">
        <v>2992</v>
      </c>
      <c r="Z815" s="2" t="s">
        <v>2992</v>
      </c>
    </row>
    <row r="816" spans="21:26" x14ac:dyDescent="0.2">
      <c r="U816" s="29" t="s">
        <v>4506</v>
      </c>
      <c r="V816" s="29">
        <v>29743</v>
      </c>
      <c r="W816" s="29" t="s">
        <v>2994</v>
      </c>
      <c r="Y816" s="2" t="s">
        <v>2993</v>
      </c>
      <c r="Z816" s="2" t="s">
        <v>2993</v>
      </c>
    </row>
    <row r="817" spans="21:26" x14ac:dyDescent="0.2">
      <c r="U817" s="29" t="s">
        <v>4507</v>
      </c>
      <c r="V817" s="29">
        <v>29744</v>
      </c>
      <c r="W817" s="29" t="s">
        <v>2994</v>
      </c>
      <c r="Y817" s="2" t="s">
        <v>2994</v>
      </c>
      <c r="Z817" s="2" t="s">
        <v>2994</v>
      </c>
    </row>
    <row r="818" spans="21:26" x14ac:dyDescent="0.2">
      <c r="U818" s="29" t="s">
        <v>4508</v>
      </c>
      <c r="V818" s="29">
        <v>29745</v>
      </c>
      <c r="W818" s="29" t="s">
        <v>2994</v>
      </c>
      <c r="Y818" s="2" t="s">
        <v>2995</v>
      </c>
      <c r="Z818" s="2" t="s">
        <v>2995</v>
      </c>
    </row>
    <row r="819" spans="21:26" x14ac:dyDescent="0.2">
      <c r="U819" s="29" t="s">
        <v>4509</v>
      </c>
      <c r="V819" s="29">
        <v>30577</v>
      </c>
      <c r="W819" s="29" t="s">
        <v>2994</v>
      </c>
      <c r="Y819" s="2" t="s">
        <v>2996</v>
      </c>
      <c r="Z819" s="2" t="s">
        <v>2996</v>
      </c>
    </row>
    <row r="820" spans="21:26" x14ac:dyDescent="0.2">
      <c r="U820" s="29" t="s">
        <v>4510</v>
      </c>
      <c r="V820" s="29">
        <v>30576</v>
      </c>
      <c r="W820" s="29" t="s">
        <v>2994</v>
      </c>
      <c r="Y820" s="2" t="s">
        <v>2997</v>
      </c>
      <c r="Z820" s="2" t="s">
        <v>2997</v>
      </c>
    </row>
    <row r="821" spans="21:26" x14ac:dyDescent="0.2">
      <c r="U821" s="29" t="s">
        <v>4511</v>
      </c>
      <c r="V821" s="29">
        <v>26500</v>
      </c>
      <c r="W821" s="29" t="s">
        <v>2994</v>
      </c>
      <c r="Y821" s="2" t="s">
        <v>2998</v>
      </c>
      <c r="Z821" s="2" t="s">
        <v>2998</v>
      </c>
    </row>
    <row r="822" spans="21:26" x14ac:dyDescent="0.2">
      <c r="U822" s="29" t="s">
        <v>4512</v>
      </c>
      <c r="V822" s="29">
        <v>25520</v>
      </c>
      <c r="W822" s="29" t="s">
        <v>2994</v>
      </c>
      <c r="Y822" s="2" t="s">
        <v>2999</v>
      </c>
      <c r="Z822" s="2" t="s">
        <v>2999</v>
      </c>
    </row>
    <row r="823" spans="21:26" x14ac:dyDescent="0.2">
      <c r="U823" s="29" t="s">
        <v>4512</v>
      </c>
      <c r="V823" s="29">
        <v>30776</v>
      </c>
      <c r="W823" s="29" t="s">
        <v>2994</v>
      </c>
      <c r="Y823" s="2" t="s">
        <v>3000</v>
      </c>
      <c r="Z823" s="2" t="s">
        <v>3000</v>
      </c>
    </row>
    <row r="824" spans="21:26" x14ac:dyDescent="0.2">
      <c r="U824" s="29" t="s">
        <v>4513</v>
      </c>
      <c r="V824" s="29">
        <v>31117</v>
      </c>
      <c r="W824" s="29" t="s">
        <v>2994</v>
      </c>
      <c r="Y824" s="2" t="s">
        <v>3429</v>
      </c>
      <c r="Z824" s="2" t="s">
        <v>3429</v>
      </c>
    </row>
    <row r="825" spans="21:26" x14ac:dyDescent="0.2">
      <c r="U825" s="29" t="s">
        <v>4514</v>
      </c>
      <c r="V825" s="29">
        <v>31118</v>
      </c>
      <c r="W825" s="29" t="s">
        <v>2994</v>
      </c>
      <c r="Y825" s="2" t="s">
        <v>3540</v>
      </c>
      <c r="Z825" s="2" t="s">
        <v>3540</v>
      </c>
    </row>
    <row r="826" spans="21:26" x14ac:dyDescent="0.2">
      <c r="U826" s="29" t="s">
        <v>4515</v>
      </c>
      <c r="V826" s="29">
        <v>25521</v>
      </c>
      <c r="W826" s="29" t="s">
        <v>2994</v>
      </c>
      <c r="Y826" s="2" t="s">
        <v>3001</v>
      </c>
      <c r="Z826" s="2" t="s">
        <v>3001</v>
      </c>
    </row>
    <row r="827" spans="21:26" x14ac:dyDescent="0.2">
      <c r="U827" s="29" t="s">
        <v>4516</v>
      </c>
      <c r="V827" s="29">
        <v>30777</v>
      </c>
      <c r="W827" s="29" t="s">
        <v>2994</v>
      </c>
      <c r="Y827" s="2" t="s">
        <v>3002</v>
      </c>
      <c r="Z827" s="2" t="s">
        <v>3002</v>
      </c>
    </row>
    <row r="828" spans="21:26" x14ac:dyDescent="0.2">
      <c r="U828" s="29" t="s">
        <v>4517</v>
      </c>
      <c r="V828" s="29">
        <v>31119</v>
      </c>
      <c r="W828" s="29" t="s">
        <v>2994</v>
      </c>
      <c r="Y828" s="2" t="s">
        <v>3003</v>
      </c>
      <c r="Z828" s="2" t="s">
        <v>3003</v>
      </c>
    </row>
    <row r="829" spans="21:26" x14ac:dyDescent="0.2">
      <c r="U829" s="29" t="s">
        <v>4518</v>
      </c>
      <c r="V829" s="29">
        <v>31120</v>
      </c>
      <c r="W829" s="29" t="s">
        <v>2994</v>
      </c>
      <c r="Y829" s="2" t="s">
        <v>2875</v>
      </c>
      <c r="Z829" s="2" t="s">
        <v>2875</v>
      </c>
    </row>
    <row r="830" spans="21:26" x14ac:dyDescent="0.2">
      <c r="U830" s="29" t="s">
        <v>4519</v>
      </c>
      <c r="V830" s="29">
        <v>24522</v>
      </c>
      <c r="W830" s="29" t="s">
        <v>2994</v>
      </c>
      <c r="Y830" s="2" t="s">
        <v>3085</v>
      </c>
      <c r="Z830" s="2" t="s">
        <v>3085</v>
      </c>
    </row>
    <row r="831" spans="21:26" x14ac:dyDescent="0.2">
      <c r="U831" s="29" t="s">
        <v>4520</v>
      </c>
      <c r="V831" s="29">
        <v>27688</v>
      </c>
      <c r="W831" s="29" t="s">
        <v>2994</v>
      </c>
      <c r="Y831" s="2" t="s">
        <v>3004</v>
      </c>
      <c r="Z831" s="2" t="s">
        <v>3004</v>
      </c>
    </row>
    <row r="832" spans="21:26" x14ac:dyDescent="0.2">
      <c r="U832" s="29" t="s">
        <v>4521</v>
      </c>
      <c r="V832" s="29">
        <v>27689</v>
      </c>
      <c r="W832" s="29" t="s">
        <v>2994</v>
      </c>
      <c r="Y832" s="2" t="s">
        <v>3005</v>
      </c>
      <c r="Z832" s="2" t="s">
        <v>3005</v>
      </c>
    </row>
    <row r="833" spans="21:26" x14ac:dyDescent="0.2">
      <c r="U833" s="29" t="s">
        <v>4522</v>
      </c>
      <c r="V833" s="29">
        <v>27690</v>
      </c>
      <c r="W833" s="29" t="s">
        <v>2994</v>
      </c>
      <c r="Y833" s="2" t="s">
        <v>3006</v>
      </c>
      <c r="Z833" s="2" t="s">
        <v>3006</v>
      </c>
    </row>
    <row r="834" spans="21:26" x14ac:dyDescent="0.2">
      <c r="U834" s="29" t="s">
        <v>4523</v>
      </c>
      <c r="V834" s="29">
        <v>27691</v>
      </c>
      <c r="W834" s="29" t="s">
        <v>2994</v>
      </c>
      <c r="Y834" s="2" t="s">
        <v>3007</v>
      </c>
      <c r="Z834" s="2" t="s">
        <v>3007</v>
      </c>
    </row>
    <row r="835" spans="21:26" x14ac:dyDescent="0.2">
      <c r="U835" s="29" t="s">
        <v>4524</v>
      </c>
      <c r="V835" s="29">
        <v>29738</v>
      </c>
      <c r="W835" s="29" t="s">
        <v>2994</v>
      </c>
      <c r="Y835" s="2" t="s">
        <v>3063</v>
      </c>
      <c r="Z835" s="2" t="s">
        <v>3063</v>
      </c>
    </row>
    <row r="836" spans="21:26" x14ac:dyDescent="0.2">
      <c r="U836" s="29" t="s">
        <v>4525</v>
      </c>
      <c r="V836" s="29">
        <v>29739</v>
      </c>
      <c r="W836" s="29" t="s">
        <v>2994</v>
      </c>
      <c r="Y836" s="2" t="s">
        <v>3430</v>
      </c>
      <c r="Z836" s="2" t="s">
        <v>3430</v>
      </c>
    </row>
    <row r="837" spans="21:26" x14ac:dyDescent="0.2">
      <c r="U837" s="29" t="s">
        <v>4526</v>
      </c>
      <c r="V837" s="29">
        <v>29740</v>
      </c>
      <c r="W837" s="29" t="s">
        <v>2994</v>
      </c>
    </row>
    <row r="838" spans="21:26" x14ac:dyDescent="0.2">
      <c r="U838" s="29" t="s">
        <v>4527</v>
      </c>
      <c r="V838" s="29">
        <v>29741</v>
      </c>
      <c r="W838" s="29" t="s">
        <v>2994</v>
      </c>
    </row>
    <row r="839" spans="21:26" x14ac:dyDescent="0.2">
      <c r="U839" s="29" t="s">
        <v>4528</v>
      </c>
      <c r="V839" s="29">
        <v>30579</v>
      </c>
      <c r="W839" s="29" t="s">
        <v>2994</v>
      </c>
    </row>
    <row r="840" spans="21:26" x14ac:dyDescent="0.2">
      <c r="U840" s="29" t="s">
        <v>4529</v>
      </c>
      <c r="V840" s="29">
        <v>30578</v>
      </c>
      <c r="W840" s="29" t="s">
        <v>2994</v>
      </c>
    </row>
    <row r="841" spans="21:26" x14ac:dyDescent="0.2">
      <c r="U841" s="29" t="s">
        <v>4530</v>
      </c>
      <c r="V841" s="29">
        <v>29148</v>
      </c>
      <c r="W841" s="29" t="s">
        <v>2994</v>
      </c>
    </row>
    <row r="842" spans="21:26" x14ac:dyDescent="0.2">
      <c r="U842" s="29" t="s">
        <v>4531</v>
      </c>
      <c r="V842" s="29">
        <v>25282</v>
      </c>
      <c r="W842" s="29" t="s">
        <v>2994</v>
      </c>
    </row>
    <row r="843" spans="21:26" x14ac:dyDescent="0.2">
      <c r="U843" s="29" t="s">
        <v>4532</v>
      </c>
      <c r="V843" s="29">
        <v>26661</v>
      </c>
      <c r="W843" s="29" t="s">
        <v>2994</v>
      </c>
    </row>
    <row r="844" spans="21:26" x14ac:dyDescent="0.2">
      <c r="U844" s="29" t="s">
        <v>4533</v>
      </c>
      <c r="V844" s="29">
        <v>25283</v>
      </c>
      <c r="W844" s="29" t="s">
        <v>2994</v>
      </c>
    </row>
    <row r="845" spans="21:26" x14ac:dyDescent="0.2">
      <c r="U845" s="29" t="s">
        <v>4534</v>
      </c>
      <c r="V845" s="29">
        <v>25284</v>
      </c>
      <c r="W845" s="29" t="s">
        <v>2994</v>
      </c>
    </row>
    <row r="846" spans="21:26" x14ac:dyDescent="0.2">
      <c r="U846" s="29" t="s">
        <v>4535</v>
      </c>
      <c r="V846" s="29">
        <v>25285</v>
      </c>
      <c r="W846" s="29" t="s">
        <v>2994</v>
      </c>
    </row>
    <row r="847" spans="21:26" x14ac:dyDescent="0.2">
      <c r="U847" s="29" t="s">
        <v>4536</v>
      </c>
      <c r="V847" s="29">
        <v>25286</v>
      </c>
      <c r="W847" s="29" t="s">
        <v>2994</v>
      </c>
    </row>
    <row r="848" spans="21:26" x14ac:dyDescent="0.2">
      <c r="U848" s="29" t="s">
        <v>4537</v>
      </c>
      <c r="V848" s="29">
        <v>23918</v>
      </c>
      <c r="W848" s="29" t="s">
        <v>2994</v>
      </c>
    </row>
    <row r="849" spans="21:23" x14ac:dyDescent="0.2">
      <c r="U849" s="29" t="s">
        <v>4538</v>
      </c>
      <c r="V849" s="29">
        <v>23919</v>
      </c>
      <c r="W849" s="29" t="s">
        <v>2994</v>
      </c>
    </row>
    <row r="850" spans="21:23" x14ac:dyDescent="0.2">
      <c r="U850" s="29" t="s">
        <v>4539</v>
      </c>
      <c r="V850" s="29">
        <v>23920</v>
      </c>
      <c r="W850" s="29" t="s">
        <v>2994</v>
      </c>
    </row>
    <row r="851" spans="21:23" x14ac:dyDescent="0.2">
      <c r="U851" s="29" t="s">
        <v>4540</v>
      </c>
      <c r="V851" s="29">
        <v>23921</v>
      </c>
      <c r="W851" s="29" t="s">
        <v>2994</v>
      </c>
    </row>
    <row r="852" spans="21:23" x14ac:dyDescent="0.2">
      <c r="U852" s="29" t="s">
        <v>4541</v>
      </c>
      <c r="V852" s="29">
        <v>23922</v>
      </c>
      <c r="W852" s="29" t="s">
        <v>2994</v>
      </c>
    </row>
    <row r="853" spans="21:23" x14ac:dyDescent="0.2">
      <c r="U853" s="29" t="s">
        <v>4542</v>
      </c>
      <c r="V853" s="29">
        <v>23923</v>
      </c>
      <c r="W853" s="29" t="s">
        <v>2994</v>
      </c>
    </row>
    <row r="854" spans="21:23" x14ac:dyDescent="0.2">
      <c r="U854" s="29" t="s">
        <v>4543</v>
      </c>
      <c r="V854" s="29">
        <v>23972</v>
      </c>
      <c r="W854" s="29" t="s">
        <v>2994</v>
      </c>
    </row>
    <row r="855" spans="21:23" x14ac:dyDescent="0.2">
      <c r="U855" s="29" t="s">
        <v>4544</v>
      </c>
      <c r="V855" s="29">
        <v>23973</v>
      </c>
      <c r="W855" s="29" t="s">
        <v>2994</v>
      </c>
    </row>
    <row r="856" spans="21:23" x14ac:dyDescent="0.2">
      <c r="U856" s="29" t="s">
        <v>4545</v>
      </c>
      <c r="V856" s="29">
        <v>23974</v>
      </c>
      <c r="W856" s="29" t="s">
        <v>2994</v>
      </c>
    </row>
    <row r="857" spans="21:23" x14ac:dyDescent="0.2">
      <c r="U857" s="29" t="s">
        <v>4546</v>
      </c>
      <c r="V857" s="29">
        <v>23975</v>
      </c>
      <c r="W857" s="29" t="s">
        <v>2994</v>
      </c>
    </row>
    <row r="858" spans="21:23" x14ac:dyDescent="0.2">
      <c r="U858" s="29" t="s">
        <v>4547</v>
      </c>
      <c r="V858" s="29">
        <v>23999</v>
      </c>
      <c r="W858" s="29" t="s">
        <v>2994</v>
      </c>
    </row>
    <row r="859" spans="21:23" x14ac:dyDescent="0.2">
      <c r="U859" s="29" t="s">
        <v>4548</v>
      </c>
      <c r="V859" s="29">
        <v>25287</v>
      </c>
      <c r="W859" s="29" t="s">
        <v>2994</v>
      </c>
    </row>
    <row r="860" spans="21:23" x14ac:dyDescent="0.2">
      <c r="U860" s="29" t="s">
        <v>4549</v>
      </c>
      <c r="V860" s="29">
        <v>26662</v>
      </c>
      <c r="W860" s="29" t="s">
        <v>2994</v>
      </c>
    </row>
    <row r="861" spans="21:23" x14ac:dyDescent="0.2">
      <c r="U861" s="29" t="s">
        <v>4550</v>
      </c>
      <c r="V861" s="29">
        <v>29149</v>
      </c>
      <c r="W861" s="29" t="s">
        <v>2994</v>
      </c>
    </row>
    <row r="862" spans="21:23" x14ac:dyDescent="0.2">
      <c r="U862" s="29" t="s">
        <v>4551</v>
      </c>
      <c r="V862" s="29">
        <v>25288</v>
      </c>
      <c r="W862" s="29" t="s">
        <v>2994</v>
      </c>
    </row>
    <row r="863" spans="21:23" x14ac:dyDescent="0.2">
      <c r="U863" s="29" t="s">
        <v>4552</v>
      </c>
      <c r="V863" s="29">
        <v>25289</v>
      </c>
      <c r="W863" s="29" t="s">
        <v>2994</v>
      </c>
    </row>
    <row r="864" spans="21:23" x14ac:dyDescent="0.2">
      <c r="U864" s="29" t="s">
        <v>4553</v>
      </c>
      <c r="V864" s="29">
        <v>25290</v>
      </c>
      <c r="W864" s="29" t="s">
        <v>2994</v>
      </c>
    </row>
    <row r="865" spans="21:23" x14ac:dyDescent="0.2">
      <c r="U865" s="29" t="s">
        <v>4554</v>
      </c>
      <c r="V865" s="29">
        <v>25291</v>
      </c>
      <c r="W865" s="29" t="s">
        <v>2994</v>
      </c>
    </row>
    <row r="866" spans="21:23" x14ac:dyDescent="0.2">
      <c r="U866" s="29" t="s">
        <v>4555</v>
      </c>
      <c r="V866" s="29">
        <v>23924</v>
      </c>
      <c r="W866" s="29" t="s">
        <v>2994</v>
      </c>
    </row>
    <row r="867" spans="21:23" x14ac:dyDescent="0.2">
      <c r="U867" s="29" t="s">
        <v>4556</v>
      </c>
      <c r="V867" s="29">
        <v>23925</v>
      </c>
      <c r="W867" s="29" t="s">
        <v>2994</v>
      </c>
    </row>
    <row r="868" spans="21:23" x14ac:dyDescent="0.2">
      <c r="U868" s="29" t="s">
        <v>4557</v>
      </c>
      <c r="V868" s="29">
        <v>23926</v>
      </c>
      <c r="W868" s="29" t="s">
        <v>2994</v>
      </c>
    </row>
    <row r="869" spans="21:23" x14ac:dyDescent="0.2">
      <c r="U869" s="29" t="s">
        <v>4558</v>
      </c>
      <c r="V869" s="29">
        <v>23927</v>
      </c>
      <c r="W869" s="29" t="s">
        <v>2994</v>
      </c>
    </row>
    <row r="870" spans="21:23" x14ac:dyDescent="0.2">
      <c r="U870" s="29" t="s">
        <v>4559</v>
      </c>
      <c r="V870" s="29">
        <v>23928</v>
      </c>
      <c r="W870" s="29" t="s">
        <v>2994</v>
      </c>
    </row>
    <row r="871" spans="21:23" x14ac:dyDescent="0.2">
      <c r="U871" s="29" t="s">
        <v>4560</v>
      </c>
      <c r="V871" s="29">
        <v>23929</v>
      </c>
      <c r="W871" s="29" t="s">
        <v>2994</v>
      </c>
    </row>
    <row r="872" spans="21:23" x14ac:dyDescent="0.2">
      <c r="U872" s="29" t="s">
        <v>4561</v>
      </c>
      <c r="V872" s="29">
        <v>23977</v>
      </c>
      <c r="W872" s="29" t="s">
        <v>2994</v>
      </c>
    </row>
    <row r="873" spans="21:23" x14ac:dyDescent="0.2">
      <c r="U873" s="29" t="s">
        <v>4562</v>
      </c>
      <c r="V873" s="29">
        <v>23976</v>
      </c>
      <c r="W873" s="29" t="s">
        <v>2994</v>
      </c>
    </row>
    <row r="874" spans="21:23" x14ac:dyDescent="0.2">
      <c r="U874" s="29" t="s">
        <v>4563</v>
      </c>
      <c r="V874" s="29">
        <v>23978</v>
      </c>
      <c r="W874" s="29" t="s">
        <v>2994</v>
      </c>
    </row>
    <row r="875" spans="21:23" x14ac:dyDescent="0.2">
      <c r="U875" s="29" t="s">
        <v>4564</v>
      </c>
      <c r="V875" s="29">
        <v>23979</v>
      </c>
      <c r="W875" s="29" t="s">
        <v>2994</v>
      </c>
    </row>
    <row r="876" spans="21:23" x14ac:dyDescent="0.2">
      <c r="U876" s="29" t="s">
        <v>4565</v>
      </c>
      <c r="V876" s="29">
        <v>24000</v>
      </c>
      <c r="W876" s="29" t="s">
        <v>2994</v>
      </c>
    </row>
    <row r="877" spans="21:23" x14ac:dyDescent="0.2">
      <c r="U877" s="29" t="s">
        <v>4566</v>
      </c>
      <c r="V877" s="29">
        <v>25292</v>
      </c>
      <c r="W877" s="29" t="s">
        <v>2994</v>
      </c>
    </row>
    <row r="878" spans="21:23" x14ac:dyDescent="0.2">
      <c r="U878" s="29" t="s">
        <v>4567</v>
      </c>
      <c r="V878" s="29">
        <v>26663</v>
      </c>
      <c r="W878" s="29" t="s">
        <v>2994</v>
      </c>
    </row>
    <row r="879" spans="21:23" x14ac:dyDescent="0.2">
      <c r="U879" s="29" t="s">
        <v>4568</v>
      </c>
      <c r="V879" s="29">
        <v>28303</v>
      </c>
      <c r="W879" s="29" t="s">
        <v>2994</v>
      </c>
    </row>
    <row r="880" spans="21:23" x14ac:dyDescent="0.2">
      <c r="U880" s="29" t="s">
        <v>4569</v>
      </c>
      <c r="V880" s="29">
        <v>29962</v>
      </c>
      <c r="W880" s="29" t="s">
        <v>2994</v>
      </c>
    </row>
    <row r="881" spans="21:23" x14ac:dyDescent="0.2">
      <c r="U881" s="29" t="s">
        <v>4570</v>
      </c>
      <c r="V881" s="29">
        <v>29963</v>
      </c>
      <c r="W881" s="29" t="s">
        <v>2994</v>
      </c>
    </row>
    <row r="882" spans="21:23" x14ac:dyDescent="0.2">
      <c r="U882" s="29" t="s">
        <v>4571</v>
      </c>
      <c r="V882" s="29">
        <v>29964</v>
      </c>
      <c r="W882" s="29" t="s">
        <v>2994</v>
      </c>
    </row>
    <row r="883" spans="21:23" x14ac:dyDescent="0.2">
      <c r="U883" s="29" t="s">
        <v>4572</v>
      </c>
      <c r="V883" s="29">
        <v>29965</v>
      </c>
      <c r="W883" s="29" t="s">
        <v>2994</v>
      </c>
    </row>
    <row r="884" spans="21:23" x14ac:dyDescent="0.2">
      <c r="U884" s="29" t="s">
        <v>4573</v>
      </c>
      <c r="V884" s="29">
        <v>29966</v>
      </c>
      <c r="W884" s="29" t="s">
        <v>2994</v>
      </c>
    </row>
    <row r="885" spans="21:23" x14ac:dyDescent="0.2">
      <c r="U885" s="29" t="s">
        <v>4574</v>
      </c>
      <c r="V885" s="29">
        <v>29967</v>
      </c>
      <c r="W885" s="29" t="s">
        <v>2994</v>
      </c>
    </row>
    <row r="886" spans="21:23" x14ac:dyDescent="0.2">
      <c r="U886" s="29" t="s">
        <v>4575</v>
      </c>
      <c r="V886" s="29">
        <v>29968</v>
      </c>
      <c r="W886" s="29" t="s">
        <v>2994</v>
      </c>
    </row>
    <row r="887" spans="21:23" x14ac:dyDescent="0.2">
      <c r="U887" s="29" t="s">
        <v>4576</v>
      </c>
      <c r="V887" s="29">
        <v>29969</v>
      </c>
      <c r="W887" s="29" t="s">
        <v>2994</v>
      </c>
    </row>
    <row r="888" spans="21:23" x14ac:dyDescent="0.2">
      <c r="U888" s="29" t="s">
        <v>4577</v>
      </c>
      <c r="V888" s="29">
        <v>28423</v>
      </c>
      <c r="W888" s="29" t="s">
        <v>2994</v>
      </c>
    </row>
    <row r="889" spans="21:23" x14ac:dyDescent="0.2">
      <c r="U889" s="29" t="s">
        <v>4578</v>
      </c>
      <c r="V889" s="29">
        <v>28304</v>
      </c>
      <c r="W889" s="29" t="s">
        <v>2994</v>
      </c>
    </row>
    <row r="890" spans="21:23" x14ac:dyDescent="0.2">
      <c r="U890" s="29" t="s">
        <v>4579</v>
      </c>
      <c r="V890" s="29">
        <v>25293</v>
      </c>
      <c r="W890" s="29" t="s">
        <v>2994</v>
      </c>
    </row>
    <row r="891" spans="21:23" x14ac:dyDescent="0.2">
      <c r="U891" s="29" t="s">
        <v>4580</v>
      </c>
      <c r="V891" s="29">
        <v>28300</v>
      </c>
      <c r="W891" s="29" t="s">
        <v>2994</v>
      </c>
    </row>
    <row r="892" spans="21:23" x14ac:dyDescent="0.2">
      <c r="U892" s="29" t="s">
        <v>4581</v>
      </c>
      <c r="V892" s="29">
        <v>29954</v>
      </c>
      <c r="W892" s="29" t="s">
        <v>2994</v>
      </c>
    </row>
    <row r="893" spans="21:23" x14ac:dyDescent="0.2">
      <c r="U893" s="29" t="s">
        <v>4582</v>
      </c>
      <c r="V893" s="29">
        <v>29955</v>
      </c>
      <c r="W893" s="29" t="s">
        <v>2994</v>
      </c>
    </row>
    <row r="894" spans="21:23" x14ac:dyDescent="0.2">
      <c r="U894" s="29" t="s">
        <v>4583</v>
      </c>
      <c r="V894" s="29">
        <v>29956</v>
      </c>
      <c r="W894" s="29" t="s">
        <v>2994</v>
      </c>
    </row>
    <row r="895" spans="21:23" x14ac:dyDescent="0.2">
      <c r="U895" s="29" t="s">
        <v>4584</v>
      </c>
      <c r="V895" s="29">
        <v>29957</v>
      </c>
      <c r="W895" s="29" t="s">
        <v>2994</v>
      </c>
    </row>
    <row r="896" spans="21:23" x14ac:dyDescent="0.2">
      <c r="U896" s="29" t="s">
        <v>4585</v>
      </c>
      <c r="V896" s="29">
        <v>29958</v>
      </c>
      <c r="W896" s="29" t="s">
        <v>2994</v>
      </c>
    </row>
    <row r="897" spans="21:23" x14ac:dyDescent="0.2">
      <c r="U897" s="29" t="s">
        <v>4586</v>
      </c>
      <c r="V897" s="29">
        <v>29961</v>
      </c>
      <c r="W897" s="29" t="s">
        <v>2994</v>
      </c>
    </row>
    <row r="898" spans="21:23" x14ac:dyDescent="0.2">
      <c r="U898" s="29" t="s">
        <v>4587</v>
      </c>
      <c r="V898" s="29">
        <v>29959</v>
      </c>
      <c r="W898" s="29" t="s">
        <v>2994</v>
      </c>
    </row>
    <row r="899" spans="21:23" x14ac:dyDescent="0.2">
      <c r="U899" s="29" t="s">
        <v>4588</v>
      </c>
      <c r="V899" s="29">
        <v>29960</v>
      </c>
      <c r="W899" s="29" t="s">
        <v>2994</v>
      </c>
    </row>
    <row r="900" spans="21:23" x14ac:dyDescent="0.2">
      <c r="U900" s="29" t="s">
        <v>4589</v>
      </c>
      <c r="V900" s="29">
        <v>28305</v>
      </c>
      <c r="W900" s="29" t="s">
        <v>2994</v>
      </c>
    </row>
    <row r="901" spans="21:23" x14ac:dyDescent="0.2">
      <c r="U901" s="29" t="s">
        <v>4590</v>
      </c>
      <c r="V901" s="29">
        <v>29970</v>
      </c>
      <c r="W901" s="29" t="s">
        <v>2994</v>
      </c>
    </row>
    <row r="902" spans="21:23" x14ac:dyDescent="0.2">
      <c r="U902" s="29" t="s">
        <v>4591</v>
      </c>
      <c r="V902" s="29">
        <v>29971</v>
      </c>
      <c r="W902" s="29" t="s">
        <v>2994</v>
      </c>
    </row>
    <row r="903" spans="21:23" x14ac:dyDescent="0.2">
      <c r="U903" s="29" t="s">
        <v>4592</v>
      </c>
      <c r="V903" s="29">
        <v>29972</v>
      </c>
      <c r="W903" s="29" t="s">
        <v>2994</v>
      </c>
    </row>
    <row r="904" spans="21:23" x14ac:dyDescent="0.2">
      <c r="U904" s="29" t="s">
        <v>4593</v>
      </c>
      <c r="V904" s="29">
        <v>29973</v>
      </c>
      <c r="W904" s="29" t="s">
        <v>2994</v>
      </c>
    </row>
    <row r="905" spans="21:23" x14ac:dyDescent="0.2">
      <c r="U905" s="29" t="s">
        <v>4594</v>
      </c>
      <c r="V905" s="29">
        <v>29974</v>
      </c>
      <c r="W905" s="29" t="s">
        <v>2994</v>
      </c>
    </row>
    <row r="906" spans="21:23" x14ac:dyDescent="0.2">
      <c r="U906" s="29" t="s">
        <v>4595</v>
      </c>
      <c r="V906" s="29">
        <v>29975</v>
      </c>
      <c r="W906" s="29" t="s">
        <v>2994</v>
      </c>
    </row>
    <row r="907" spans="21:23" x14ac:dyDescent="0.2">
      <c r="U907" s="29" t="s">
        <v>4596</v>
      </c>
      <c r="V907" s="29">
        <v>29976</v>
      </c>
      <c r="W907" s="29" t="s">
        <v>2994</v>
      </c>
    </row>
    <row r="908" spans="21:23" x14ac:dyDescent="0.2">
      <c r="U908" s="29" t="s">
        <v>4597</v>
      </c>
      <c r="V908" s="29">
        <v>29977</v>
      </c>
      <c r="W908" s="29" t="s">
        <v>2994</v>
      </c>
    </row>
    <row r="909" spans="21:23" x14ac:dyDescent="0.2">
      <c r="U909" s="29" t="s">
        <v>4598</v>
      </c>
      <c r="V909" s="29">
        <v>28424</v>
      </c>
      <c r="W909" s="29" t="s">
        <v>2994</v>
      </c>
    </row>
    <row r="910" spans="21:23" x14ac:dyDescent="0.2">
      <c r="U910" s="29" t="s">
        <v>4599</v>
      </c>
      <c r="V910" s="29">
        <v>28420</v>
      </c>
      <c r="W910" s="29" t="s">
        <v>2994</v>
      </c>
    </row>
    <row r="911" spans="21:23" x14ac:dyDescent="0.2">
      <c r="U911" s="29" t="s">
        <v>4600</v>
      </c>
      <c r="V911" s="29">
        <v>25294</v>
      </c>
      <c r="W911" s="29" t="s">
        <v>2994</v>
      </c>
    </row>
    <row r="912" spans="21:23" x14ac:dyDescent="0.2">
      <c r="U912" s="29" t="s">
        <v>4601</v>
      </c>
      <c r="V912" s="29">
        <v>25295</v>
      </c>
      <c r="W912" s="29" t="s">
        <v>2994</v>
      </c>
    </row>
    <row r="913" spans="21:23" x14ac:dyDescent="0.2">
      <c r="U913" s="29" t="s">
        <v>4602</v>
      </c>
      <c r="V913" s="29">
        <v>25296</v>
      </c>
      <c r="W913" s="29" t="s">
        <v>2994</v>
      </c>
    </row>
    <row r="914" spans="21:23" x14ac:dyDescent="0.2">
      <c r="U914" s="29" t="s">
        <v>4603</v>
      </c>
      <c r="V914" s="29">
        <v>28301</v>
      </c>
      <c r="W914" s="29" t="s">
        <v>2994</v>
      </c>
    </row>
    <row r="915" spans="21:23" x14ac:dyDescent="0.2">
      <c r="U915" s="29" t="s">
        <v>4604</v>
      </c>
      <c r="V915" s="29">
        <v>28302</v>
      </c>
      <c r="W915" s="29" t="s">
        <v>2994</v>
      </c>
    </row>
    <row r="916" spans="21:23" x14ac:dyDescent="0.2">
      <c r="U916" s="29" t="s">
        <v>4605</v>
      </c>
      <c r="V916" s="29">
        <v>23930</v>
      </c>
      <c r="W916" s="29" t="s">
        <v>2994</v>
      </c>
    </row>
    <row r="917" spans="21:23" x14ac:dyDescent="0.2">
      <c r="U917" s="29" t="s">
        <v>4606</v>
      </c>
      <c r="V917" s="29">
        <v>23931</v>
      </c>
      <c r="W917" s="29" t="s">
        <v>2994</v>
      </c>
    </row>
    <row r="918" spans="21:23" x14ac:dyDescent="0.2">
      <c r="U918" s="29" t="s">
        <v>4607</v>
      </c>
      <c r="V918" s="29">
        <v>23932</v>
      </c>
      <c r="W918" s="29" t="s">
        <v>2994</v>
      </c>
    </row>
    <row r="919" spans="21:23" x14ac:dyDescent="0.2">
      <c r="U919" s="29" t="s">
        <v>4608</v>
      </c>
      <c r="V919" s="29">
        <v>23933</v>
      </c>
      <c r="W919" s="29" t="s">
        <v>2994</v>
      </c>
    </row>
    <row r="920" spans="21:23" x14ac:dyDescent="0.2">
      <c r="U920" s="29" t="s">
        <v>4609</v>
      </c>
      <c r="V920" s="29">
        <v>23934</v>
      </c>
      <c r="W920" s="29" t="s">
        <v>2994</v>
      </c>
    </row>
    <row r="921" spans="21:23" x14ac:dyDescent="0.2">
      <c r="U921" s="29" t="s">
        <v>4610</v>
      </c>
      <c r="V921" s="29">
        <v>23935</v>
      </c>
      <c r="W921" s="29" t="s">
        <v>2994</v>
      </c>
    </row>
    <row r="922" spans="21:23" x14ac:dyDescent="0.2">
      <c r="U922" s="29" t="s">
        <v>4611</v>
      </c>
      <c r="V922" s="29">
        <v>23980</v>
      </c>
      <c r="W922" s="29" t="s">
        <v>2994</v>
      </c>
    </row>
    <row r="923" spans="21:23" x14ac:dyDescent="0.2">
      <c r="U923" s="29" t="s">
        <v>4612</v>
      </c>
      <c r="V923" s="29">
        <v>23981</v>
      </c>
      <c r="W923" s="29" t="s">
        <v>2994</v>
      </c>
    </row>
    <row r="924" spans="21:23" x14ac:dyDescent="0.2">
      <c r="U924" s="29" t="s">
        <v>4613</v>
      </c>
      <c r="V924" s="29">
        <v>23982</v>
      </c>
      <c r="W924" s="29" t="s">
        <v>2994</v>
      </c>
    </row>
    <row r="925" spans="21:23" x14ac:dyDescent="0.2">
      <c r="U925" s="29" t="s">
        <v>4614</v>
      </c>
      <c r="V925" s="29">
        <v>23983</v>
      </c>
      <c r="W925" s="29" t="s">
        <v>2994</v>
      </c>
    </row>
    <row r="926" spans="21:23" x14ac:dyDescent="0.2">
      <c r="U926" s="29" t="s">
        <v>4615</v>
      </c>
      <c r="V926" s="29">
        <v>24001</v>
      </c>
      <c r="W926" s="29" t="s">
        <v>2994</v>
      </c>
    </row>
    <row r="927" spans="21:23" x14ac:dyDescent="0.2">
      <c r="U927" s="29" t="s">
        <v>4616</v>
      </c>
      <c r="V927" s="29">
        <v>25297</v>
      </c>
      <c r="W927" s="29" t="s">
        <v>2994</v>
      </c>
    </row>
    <row r="928" spans="21:23" x14ac:dyDescent="0.2">
      <c r="U928" s="29" t="s">
        <v>4617</v>
      </c>
      <c r="V928" s="29">
        <v>29145</v>
      </c>
      <c r="W928" s="29" t="s">
        <v>2994</v>
      </c>
    </row>
    <row r="929" spans="21:23" x14ac:dyDescent="0.2">
      <c r="U929" s="29" t="s">
        <v>4617</v>
      </c>
      <c r="V929" s="29">
        <v>29146</v>
      </c>
      <c r="W929" s="29" t="s">
        <v>2994</v>
      </c>
    </row>
    <row r="930" spans="21:23" x14ac:dyDescent="0.2">
      <c r="U930" s="29" t="s">
        <v>4618</v>
      </c>
      <c r="V930" s="29">
        <v>25298</v>
      </c>
      <c r="W930" s="29" t="s">
        <v>2994</v>
      </c>
    </row>
    <row r="931" spans="21:23" x14ac:dyDescent="0.2">
      <c r="U931" s="29" t="s">
        <v>4619</v>
      </c>
      <c r="V931" s="29">
        <v>25322</v>
      </c>
      <c r="W931" s="29" t="s">
        <v>2994</v>
      </c>
    </row>
    <row r="932" spans="21:23" x14ac:dyDescent="0.2">
      <c r="U932" s="29" t="s">
        <v>4620</v>
      </c>
      <c r="V932" s="29">
        <v>25321</v>
      </c>
      <c r="W932" s="29" t="s">
        <v>2994</v>
      </c>
    </row>
    <row r="933" spans="21:23" x14ac:dyDescent="0.2">
      <c r="U933" s="29" t="s">
        <v>4621</v>
      </c>
      <c r="V933" s="29">
        <v>25299</v>
      </c>
      <c r="W933" s="29" t="s">
        <v>2994</v>
      </c>
    </row>
    <row r="934" spans="21:23" x14ac:dyDescent="0.2">
      <c r="U934" s="29" t="s">
        <v>4622</v>
      </c>
      <c r="V934" s="29">
        <v>25300</v>
      </c>
      <c r="W934" s="29" t="s">
        <v>2994</v>
      </c>
    </row>
    <row r="935" spans="21:23" x14ac:dyDescent="0.2">
      <c r="U935" s="29" t="s">
        <v>4623</v>
      </c>
      <c r="V935" s="29">
        <v>26664</v>
      </c>
      <c r="W935" s="29" t="s">
        <v>2994</v>
      </c>
    </row>
    <row r="936" spans="21:23" x14ac:dyDescent="0.2">
      <c r="U936" s="29" t="s">
        <v>4624</v>
      </c>
      <c r="V936" s="29">
        <v>25301</v>
      </c>
      <c r="W936" s="29" t="s">
        <v>2994</v>
      </c>
    </row>
    <row r="937" spans="21:23" x14ac:dyDescent="0.2">
      <c r="U937" s="29" t="s">
        <v>4625</v>
      </c>
      <c r="V937" s="29">
        <v>25302</v>
      </c>
      <c r="W937" s="29" t="s">
        <v>2994</v>
      </c>
    </row>
    <row r="938" spans="21:23" x14ac:dyDescent="0.2">
      <c r="U938" s="29" t="s">
        <v>4626</v>
      </c>
      <c r="V938" s="29">
        <v>25303</v>
      </c>
      <c r="W938" s="29" t="s">
        <v>2994</v>
      </c>
    </row>
    <row r="939" spans="21:23" x14ac:dyDescent="0.2">
      <c r="U939" s="29" t="s">
        <v>4627</v>
      </c>
      <c r="V939" s="29">
        <v>29147</v>
      </c>
      <c r="W939" s="29" t="s">
        <v>2994</v>
      </c>
    </row>
    <row r="940" spans="21:23" x14ac:dyDescent="0.2">
      <c r="U940" s="29" t="s">
        <v>4628</v>
      </c>
      <c r="V940" s="29">
        <v>25304</v>
      </c>
      <c r="W940" s="29" t="s">
        <v>2994</v>
      </c>
    </row>
    <row r="941" spans="21:23" x14ac:dyDescent="0.2">
      <c r="U941" s="29" t="s">
        <v>4629</v>
      </c>
      <c r="V941" s="29">
        <v>25305</v>
      </c>
      <c r="W941" s="29" t="s">
        <v>2994</v>
      </c>
    </row>
    <row r="942" spans="21:23" x14ac:dyDescent="0.2">
      <c r="U942" s="29" t="s">
        <v>4630</v>
      </c>
      <c r="V942" s="29">
        <v>25306</v>
      </c>
      <c r="W942" s="29" t="s">
        <v>2994</v>
      </c>
    </row>
    <row r="943" spans="21:23" x14ac:dyDescent="0.2">
      <c r="U943" s="29" t="s">
        <v>4631</v>
      </c>
      <c r="V943" s="29">
        <v>26665</v>
      </c>
      <c r="W943" s="29" t="s">
        <v>2994</v>
      </c>
    </row>
    <row r="944" spans="21:23" x14ac:dyDescent="0.2">
      <c r="U944" s="29" t="s">
        <v>4632</v>
      </c>
      <c r="V944" s="29">
        <v>25307</v>
      </c>
      <c r="W944" s="29" t="s">
        <v>2994</v>
      </c>
    </row>
    <row r="945" spans="21:23" x14ac:dyDescent="0.2">
      <c r="U945" s="29" t="s">
        <v>4633</v>
      </c>
      <c r="V945" s="29">
        <v>25308</v>
      </c>
      <c r="W945" s="29" t="s">
        <v>2994</v>
      </c>
    </row>
    <row r="946" spans="21:23" x14ac:dyDescent="0.2">
      <c r="U946" s="29" t="s">
        <v>4634</v>
      </c>
      <c r="V946" s="29">
        <v>25326</v>
      </c>
      <c r="W946" s="29" t="s">
        <v>2994</v>
      </c>
    </row>
    <row r="947" spans="21:23" x14ac:dyDescent="0.2">
      <c r="U947" s="29" t="s">
        <v>4634</v>
      </c>
      <c r="V947" s="29">
        <v>25320</v>
      </c>
      <c r="W947" s="29" t="s">
        <v>2994</v>
      </c>
    </row>
    <row r="948" spans="21:23" x14ac:dyDescent="0.2">
      <c r="U948" s="29" t="s">
        <v>4635</v>
      </c>
      <c r="V948" s="29">
        <v>25325</v>
      </c>
      <c r="W948" s="29" t="s">
        <v>2994</v>
      </c>
    </row>
    <row r="949" spans="21:23" x14ac:dyDescent="0.2">
      <c r="U949" s="29" t="s">
        <v>4635</v>
      </c>
      <c r="V949" s="29">
        <v>25319</v>
      </c>
      <c r="W949" s="29" t="s">
        <v>2994</v>
      </c>
    </row>
    <row r="950" spans="21:23" x14ac:dyDescent="0.2">
      <c r="U950" s="29" t="s">
        <v>4636</v>
      </c>
      <c r="V950" s="29">
        <v>25309</v>
      </c>
      <c r="W950" s="29" t="s">
        <v>2994</v>
      </c>
    </row>
    <row r="951" spans="21:23" x14ac:dyDescent="0.2">
      <c r="U951" s="29" t="s">
        <v>4637</v>
      </c>
      <c r="V951" s="29">
        <v>25310</v>
      </c>
      <c r="W951" s="29" t="s">
        <v>2994</v>
      </c>
    </row>
    <row r="952" spans="21:23" x14ac:dyDescent="0.2">
      <c r="U952" s="29" t="s">
        <v>4638</v>
      </c>
      <c r="V952" s="29">
        <v>25311</v>
      </c>
      <c r="W952" s="29" t="s">
        <v>2994</v>
      </c>
    </row>
    <row r="953" spans="21:23" x14ac:dyDescent="0.2">
      <c r="U953" s="29" t="s">
        <v>4639</v>
      </c>
      <c r="V953" s="29">
        <v>25312</v>
      </c>
      <c r="W953" s="29" t="s">
        <v>2994</v>
      </c>
    </row>
    <row r="954" spans="21:23" x14ac:dyDescent="0.2">
      <c r="U954" s="29" t="s">
        <v>4640</v>
      </c>
      <c r="V954" s="29">
        <v>25313</v>
      </c>
      <c r="W954" s="29" t="s">
        <v>2994</v>
      </c>
    </row>
    <row r="955" spans="21:23" x14ac:dyDescent="0.2">
      <c r="U955" s="29" t="s">
        <v>4641</v>
      </c>
      <c r="V955" s="29">
        <v>25314</v>
      </c>
      <c r="W955" s="29" t="s">
        <v>2994</v>
      </c>
    </row>
    <row r="956" spans="21:23" x14ac:dyDescent="0.2">
      <c r="U956" s="29" t="s">
        <v>4642</v>
      </c>
      <c r="V956" s="29">
        <v>26666</v>
      </c>
      <c r="W956" s="29" t="s">
        <v>2994</v>
      </c>
    </row>
    <row r="957" spans="21:23" x14ac:dyDescent="0.2">
      <c r="U957" s="29" t="s">
        <v>4643</v>
      </c>
      <c r="V957" s="29">
        <v>25315</v>
      </c>
      <c r="W957" s="29" t="s">
        <v>2994</v>
      </c>
    </row>
    <row r="958" spans="21:23" x14ac:dyDescent="0.2">
      <c r="U958" s="29" t="s">
        <v>4644</v>
      </c>
      <c r="V958" s="29">
        <v>25323</v>
      </c>
      <c r="W958" s="29" t="s">
        <v>2994</v>
      </c>
    </row>
    <row r="959" spans="21:23" x14ac:dyDescent="0.2">
      <c r="U959" s="29" t="s">
        <v>4645</v>
      </c>
      <c r="V959" s="29">
        <v>25316</v>
      </c>
      <c r="W959" s="29" t="s">
        <v>2994</v>
      </c>
    </row>
    <row r="960" spans="21:23" x14ac:dyDescent="0.2">
      <c r="U960" s="29" t="s">
        <v>4646</v>
      </c>
      <c r="V960" s="29">
        <v>25324</v>
      </c>
      <c r="W960" s="29" t="s">
        <v>2994</v>
      </c>
    </row>
    <row r="961" spans="21:23" x14ac:dyDescent="0.2">
      <c r="U961" s="29" t="s">
        <v>4647</v>
      </c>
      <c r="V961" s="29">
        <v>25317</v>
      </c>
      <c r="W961" s="29" t="s">
        <v>2994</v>
      </c>
    </row>
    <row r="962" spans="21:23" x14ac:dyDescent="0.2">
      <c r="U962" s="29" t="s">
        <v>4648</v>
      </c>
      <c r="V962" s="29">
        <v>29150</v>
      </c>
      <c r="W962" s="29" t="s">
        <v>2994</v>
      </c>
    </row>
    <row r="963" spans="21:23" x14ac:dyDescent="0.2">
      <c r="U963" s="29" t="s">
        <v>4649</v>
      </c>
      <c r="V963" s="29">
        <v>27621</v>
      </c>
      <c r="W963" s="29" t="s">
        <v>2994</v>
      </c>
    </row>
    <row r="964" spans="21:23" x14ac:dyDescent="0.2">
      <c r="U964" s="29" t="s">
        <v>4650</v>
      </c>
      <c r="V964" s="29">
        <v>27622</v>
      </c>
      <c r="W964" s="29" t="s">
        <v>2994</v>
      </c>
    </row>
    <row r="965" spans="21:23" x14ac:dyDescent="0.2">
      <c r="U965" s="29" t="s">
        <v>4651</v>
      </c>
      <c r="V965" s="29">
        <v>27623</v>
      </c>
      <c r="W965" s="29" t="s">
        <v>2994</v>
      </c>
    </row>
    <row r="966" spans="21:23" x14ac:dyDescent="0.2">
      <c r="U966" s="29" t="s">
        <v>4652</v>
      </c>
      <c r="V966" s="29">
        <v>27624</v>
      </c>
      <c r="W966" s="29" t="s">
        <v>2994</v>
      </c>
    </row>
    <row r="967" spans="21:23" x14ac:dyDescent="0.2">
      <c r="U967" s="29" t="s">
        <v>4653</v>
      </c>
      <c r="V967" s="29">
        <v>29734</v>
      </c>
      <c r="W967" s="29" t="s">
        <v>2994</v>
      </c>
    </row>
    <row r="968" spans="21:23" x14ac:dyDescent="0.2">
      <c r="U968" s="29" t="s">
        <v>4654</v>
      </c>
      <c r="V968" s="29">
        <v>29735</v>
      </c>
      <c r="W968" s="29" t="s">
        <v>2994</v>
      </c>
    </row>
    <row r="969" spans="21:23" x14ac:dyDescent="0.2">
      <c r="U969" s="29" t="s">
        <v>4655</v>
      </c>
      <c r="V969" s="29">
        <v>29736</v>
      </c>
      <c r="W969" s="29" t="s">
        <v>2994</v>
      </c>
    </row>
    <row r="970" spans="21:23" x14ac:dyDescent="0.2">
      <c r="U970" s="29" t="s">
        <v>4656</v>
      </c>
      <c r="V970" s="29">
        <v>29737</v>
      </c>
      <c r="W970" s="29" t="s">
        <v>2994</v>
      </c>
    </row>
    <row r="971" spans="21:23" x14ac:dyDescent="0.2">
      <c r="U971" s="29" t="s">
        <v>4657</v>
      </c>
      <c r="V971" s="29">
        <v>28281</v>
      </c>
      <c r="W971" s="29" t="s">
        <v>2994</v>
      </c>
    </row>
    <row r="972" spans="21:23" x14ac:dyDescent="0.2">
      <c r="U972" s="29" t="s">
        <v>4658</v>
      </c>
      <c r="V972" s="29">
        <v>28282</v>
      </c>
      <c r="W972" s="29" t="s">
        <v>2994</v>
      </c>
    </row>
    <row r="973" spans="21:23" x14ac:dyDescent="0.2">
      <c r="U973" s="29" t="s">
        <v>4659</v>
      </c>
      <c r="V973" s="29">
        <v>27625</v>
      </c>
      <c r="W973" s="29" t="s">
        <v>2994</v>
      </c>
    </row>
    <row r="974" spans="21:23" x14ac:dyDescent="0.2">
      <c r="U974" s="29" t="s">
        <v>4660</v>
      </c>
      <c r="V974" s="29">
        <v>27626</v>
      </c>
      <c r="W974" s="29" t="s">
        <v>2994</v>
      </c>
    </row>
    <row r="975" spans="21:23" x14ac:dyDescent="0.2">
      <c r="U975" s="29" t="s">
        <v>4661</v>
      </c>
      <c r="V975" s="29">
        <v>27627</v>
      </c>
      <c r="W975" s="29" t="s">
        <v>2994</v>
      </c>
    </row>
    <row r="976" spans="21:23" x14ac:dyDescent="0.2">
      <c r="U976" s="29" t="s">
        <v>4662</v>
      </c>
      <c r="V976" s="29">
        <v>27628</v>
      </c>
      <c r="W976" s="29" t="s">
        <v>2994</v>
      </c>
    </row>
    <row r="977" spans="21:23" x14ac:dyDescent="0.2">
      <c r="U977" s="29" t="s">
        <v>4663</v>
      </c>
      <c r="V977" s="29">
        <v>29750</v>
      </c>
      <c r="W977" s="29" t="s">
        <v>2994</v>
      </c>
    </row>
    <row r="978" spans="21:23" x14ac:dyDescent="0.2">
      <c r="U978" s="29" t="s">
        <v>4664</v>
      </c>
      <c r="V978" s="29">
        <v>29755</v>
      </c>
      <c r="W978" s="29" t="s">
        <v>2994</v>
      </c>
    </row>
    <row r="979" spans="21:23" x14ac:dyDescent="0.2">
      <c r="U979" s="29" t="s">
        <v>4665</v>
      </c>
      <c r="V979" s="29">
        <v>29752</v>
      </c>
      <c r="W979" s="29" t="s">
        <v>2994</v>
      </c>
    </row>
    <row r="980" spans="21:23" x14ac:dyDescent="0.2">
      <c r="U980" s="29" t="s">
        <v>4666</v>
      </c>
      <c r="V980" s="29">
        <v>29753</v>
      </c>
      <c r="W980" s="29" t="s">
        <v>2994</v>
      </c>
    </row>
    <row r="981" spans="21:23" x14ac:dyDescent="0.2">
      <c r="U981" s="29" t="s">
        <v>4667</v>
      </c>
      <c r="V981" s="29">
        <v>28283</v>
      </c>
      <c r="W981" s="29" t="s">
        <v>2994</v>
      </c>
    </row>
    <row r="982" spans="21:23" x14ac:dyDescent="0.2">
      <c r="U982" s="29" t="s">
        <v>4668</v>
      </c>
      <c r="V982" s="29">
        <v>27629</v>
      </c>
      <c r="W982" s="29" t="s">
        <v>2994</v>
      </c>
    </row>
    <row r="983" spans="21:23" x14ac:dyDescent="0.2">
      <c r="U983" s="29" t="s">
        <v>4669</v>
      </c>
      <c r="V983" s="29">
        <v>27630</v>
      </c>
      <c r="W983" s="29" t="s">
        <v>2994</v>
      </c>
    </row>
    <row r="984" spans="21:23" x14ac:dyDescent="0.2">
      <c r="U984" s="29" t="s">
        <v>4670</v>
      </c>
      <c r="V984" s="29">
        <v>27631</v>
      </c>
      <c r="W984" s="29" t="s">
        <v>2994</v>
      </c>
    </row>
    <row r="985" spans="21:23" x14ac:dyDescent="0.2">
      <c r="U985" s="29" t="s">
        <v>4671</v>
      </c>
      <c r="V985" s="29">
        <v>27632</v>
      </c>
      <c r="W985" s="29" t="s">
        <v>2994</v>
      </c>
    </row>
    <row r="986" spans="21:23" x14ac:dyDescent="0.2">
      <c r="U986" s="29" t="s">
        <v>4672</v>
      </c>
      <c r="V986" s="29">
        <v>29754</v>
      </c>
      <c r="W986" s="29" t="s">
        <v>2994</v>
      </c>
    </row>
    <row r="987" spans="21:23" x14ac:dyDescent="0.2">
      <c r="U987" s="29" t="s">
        <v>4673</v>
      </c>
      <c r="V987" s="29">
        <v>29751</v>
      </c>
      <c r="W987" s="29" t="s">
        <v>2994</v>
      </c>
    </row>
    <row r="988" spans="21:23" x14ac:dyDescent="0.2">
      <c r="U988" s="29" t="s">
        <v>4674</v>
      </c>
      <c r="V988" s="29">
        <v>29756</v>
      </c>
      <c r="W988" s="29" t="s">
        <v>2994</v>
      </c>
    </row>
    <row r="989" spans="21:23" x14ac:dyDescent="0.2">
      <c r="U989" s="29" t="s">
        <v>4675</v>
      </c>
      <c r="V989" s="29">
        <v>29757</v>
      </c>
      <c r="W989" s="29" t="s">
        <v>2994</v>
      </c>
    </row>
    <row r="990" spans="21:23" x14ac:dyDescent="0.2">
      <c r="U990" s="29" t="s">
        <v>4676</v>
      </c>
      <c r="V990" s="29">
        <v>29144</v>
      </c>
      <c r="W990" s="29" t="s">
        <v>2994</v>
      </c>
    </row>
    <row r="991" spans="21:23" x14ac:dyDescent="0.2">
      <c r="U991" s="29" t="s">
        <v>4677</v>
      </c>
      <c r="V991" s="29">
        <v>31895</v>
      </c>
      <c r="W991" s="29" t="s">
        <v>2994</v>
      </c>
    </row>
    <row r="992" spans="21:23" x14ac:dyDescent="0.2">
      <c r="U992" s="29" t="s">
        <v>4678</v>
      </c>
      <c r="V992" s="29">
        <v>31934</v>
      </c>
      <c r="W992" s="29" t="s">
        <v>2994</v>
      </c>
    </row>
    <row r="993" spans="21:23" x14ac:dyDescent="0.2">
      <c r="U993" s="29" t="s">
        <v>4679</v>
      </c>
      <c r="V993" s="29">
        <v>31939</v>
      </c>
      <c r="W993" s="29" t="s">
        <v>2994</v>
      </c>
    </row>
    <row r="994" spans="21:23" x14ac:dyDescent="0.2">
      <c r="U994" s="29" t="s">
        <v>4680</v>
      </c>
      <c r="V994" s="29">
        <v>31940</v>
      </c>
      <c r="W994" s="29" t="s">
        <v>2994</v>
      </c>
    </row>
    <row r="995" spans="21:23" x14ac:dyDescent="0.2">
      <c r="U995" s="29" t="s">
        <v>4681</v>
      </c>
      <c r="V995" s="29">
        <v>31941</v>
      </c>
      <c r="W995" s="29" t="s">
        <v>2994</v>
      </c>
    </row>
    <row r="996" spans="21:23" x14ac:dyDescent="0.2">
      <c r="U996" s="29" t="s">
        <v>4682</v>
      </c>
      <c r="V996" s="29">
        <v>31896</v>
      </c>
      <c r="W996" s="29" t="s">
        <v>2994</v>
      </c>
    </row>
    <row r="997" spans="21:23" x14ac:dyDescent="0.2">
      <c r="U997" s="29" t="s">
        <v>4683</v>
      </c>
      <c r="V997" s="29">
        <v>31942</v>
      </c>
      <c r="W997" s="29" t="s">
        <v>2994</v>
      </c>
    </row>
    <row r="998" spans="21:23" x14ac:dyDescent="0.2">
      <c r="U998" s="29" t="s">
        <v>4684</v>
      </c>
      <c r="V998" s="29">
        <v>31943</v>
      </c>
      <c r="W998" s="29" t="s">
        <v>2994</v>
      </c>
    </row>
    <row r="999" spans="21:23" x14ac:dyDescent="0.2">
      <c r="U999" s="29" t="s">
        <v>4685</v>
      </c>
      <c r="V999" s="29">
        <v>31944</v>
      </c>
      <c r="W999" s="29" t="s">
        <v>2994</v>
      </c>
    </row>
    <row r="1000" spans="21:23" x14ac:dyDescent="0.2">
      <c r="U1000" s="29" t="s">
        <v>4686</v>
      </c>
      <c r="V1000" s="29">
        <v>31945</v>
      </c>
      <c r="W1000" s="29" t="s">
        <v>2994</v>
      </c>
    </row>
    <row r="1001" spans="21:23" x14ac:dyDescent="0.2">
      <c r="U1001" s="2" t="s">
        <v>4687</v>
      </c>
      <c r="V1001" s="2">
        <v>31897</v>
      </c>
      <c r="W1001" s="2" t="s">
        <v>2994</v>
      </c>
    </row>
    <row r="1002" spans="21:23" x14ac:dyDescent="0.2">
      <c r="U1002" s="2" t="s">
        <v>4688</v>
      </c>
      <c r="V1002" s="2">
        <v>31946</v>
      </c>
      <c r="W1002" s="2" t="s">
        <v>2994</v>
      </c>
    </row>
    <row r="1003" spans="21:23" x14ac:dyDescent="0.2">
      <c r="U1003" s="2" t="s">
        <v>4689</v>
      </c>
      <c r="V1003" s="2">
        <v>31947</v>
      </c>
      <c r="W1003" s="2" t="s">
        <v>2994</v>
      </c>
    </row>
    <row r="1004" spans="21:23" x14ac:dyDescent="0.2">
      <c r="U1004" s="2" t="s">
        <v>4690</v>
      </c>
      <c r="V1004" s="2">
        <v>31948</v>
      </c>
      <c r="W1004" s="2" t="s">
        <v>2994</v>
      </c>
    </row>
    <row r="1005" spans="21:23" x14ac:dyDescent="0.2">
      <c r="U1005" s="2" t="s">
        <v>4691</v>
      </c>
      <c r="V1005" s="2">
        <v>31949</v>
      </c>
      <c r="W1005" s="2" t="s">
        <v>2994</v>
      </c>
    </row>
    <row r="1006" spans="21:23" x14ac:dyDescent="0.2">
      <c r="U1006" s="2" t="s">
        <v>4692</v>
      </c>
      <c r="V1006" s="2">
        <v>31898</v>
      </c>
      <c r="W1006" s="2" t="s">
        <v>2994</v>
      </c>
    </row>
    <row r="1007" spans="21:23" x14ac:dyDescent="0.2">
      <c r="U1007" s="2" t="s">
        <v>4693</v>
      </c>
      <c r="V1007" s="2">
        <v>31950</v>
      </c>
      <c r="W1007" s="2" t="s">
        <v>2994</v>
      </c>
    </row>
    <row r="1008" spans="21:23" x14ac:dyDescent="0.2">
      <c r="U1008" s="2" t="s">
        <v>4694</v>
      </c>
      <c r="V1008" s="2">
        <v>31951</v>
      </c>
      <c r="W1008" s="2" t="s">
        <v>2994</v>
      </c>
    </row>
    <row r="1009" spans="21:23" x14ac:dyDescent="0.2">
      <c r="U1009" s="2" t="s">
        <v>4695</v>
      </c>
      <c r="V1009" s="2">
        <v>31952</v>
      </c>
      <c r="W1009" s="2" t="s">
        <v>2994</v>
      </c>
    </row>
    <row r="1010" spans="21:23" x14ac:dyDescent="0.2">
      <c r="U1010" s="2" t="s">
        <v>4696</v>
      </c>
      <c r="V1010" s="2">
        <v>31953</v>
      </c>
      <c r="W1010" s="2" t="s">
        <v>2994</v>
      </c>
    </row>
    <row r="1011" spans="21:23" x14ac:dyDescent="0.2">
      <c r="U1011" s="2" t="s">
        <v>4697</v>
      </c>
      <c r="V1011" s="2">
        <v>31899</v>
      </c>
      <c r="W1011" s="2" t="s">
        <v>2994</v>
      </c>
    </row>
    <row r="1012" spans="21:23" x14ac:dyDescent="0.2">
      <c r="U1012" s="2" t="s">
        <v>4698</v>
      </c>
      <c r="V1012" s="2">
        <v>31954</v>
      </c>
      <c r="W1012" s="2" t="s">
        <v>2994</v>
      </c>
    </row>
    <row r="1013" spans="21:23" x14ac:dyDescent="0.2">
      <c r="U1013" s="2" t="s">
        <v>4699</v>
      </c>
      <c r="V1013" s="2">
        <v>31955</v>
      </c>
      <c r="W1013" s="2" t="s">
        <v>2994</v>
      </c>
    </row>
    <row r="1014" spans="21:23" x14ac:dyDescent="0.2">
      <c r="U1014" s="2" t="s">
        <v>4700</v>
      </c>
      <c r="V1014" s="2">
        <v>31956</v>
      </c>
      <c r="W1014" s="2" t="s">
        <v>2994</v>
      </c>
    </row>
    <row r="1015" spans="21:23" x14ac:dyDescent="0.2">
      <c r="U1015" s="2" t="s">
        <v>4701</v>
      </c>
      <c r="V1015" s="2">
        <v>31957</v>
      </c>
      <c r="W1015" s="2" t="s">
        <v>2994</v>
      </c>
    </row>
    <row r="1016" spans="21:23" x14ac:dyDescent="0.2">
      <c r="U1016" s="2" t="s">
        <v>4702</v>
      </c>
      <c r="V1016" s="2">
        <v>31900</v>
      </c>
      <c r="W1016" s="2" t="s">
        <v>2994</v>
      </c>
    </row>
    <row r="1017" spans="21:23" x14ac:dyDescent="0.2">
      <c r="U1017" s="2" t="s">
        <v>4703</v>
      </c>
      <c r="V1017" s="2">
        <v>31958</v>
      </c>
      <c r="W1017" s="2" t="s">
        <v>2994</v>
      </c>
    </row>
    <row r="1018" spans="21:23" x14ac:dyDescent="0.2">
      <c r="U1018" s="2" t="s">
        <v>4704</v>
      </c>
      <c r="V1018" s="2">
        <v>31959</v>
      </c>
      <c r="W1018" s="2" t="s">
        <v>2994</v>
      </c>
    </row>
    <row r="1019" spans="21:23" x14ac:dyDescent="0.2">
      <c r="U1019" s="2" t="s">
        <v>4705</v>
      </c>
      <c r="V1019" s="2">
        <v>31960</v>
      </c>
      <c r="W1019" s="2" t="s">
        <v>2994</v>
      </c>
    </row>
    <row r="1020" spans="21:23" x14ac:dyDescent="0.2">
      <c r="U1020" s="2" t="s">
        <v>4706</v>
      </c>
      <c r="V1020" s="2">
        <v>31961</v>
      </c>
      <c r="W1020" s="2" t="s">
        <v>2994</v>
      </c>
    </row>
    <row r="1021" spans="21:23" x14ac:dyDescent="0.2">
      <c r="U1021" s="2" t="s">
        <v>4707</v>
      </c>
      <c r="V1021" s="2">
        <v>23936</v>
      </c>
      <c r="W1021" s="2" t="s">
        <v>2994</v>
      </c>
    </row>
    <row r="1022" spans="21:23" x14ac:dyDescent="0.2">
      <c r="U1022" s="2" t="s">
        <v>4708</v>
      </c>
      <c r="V1022" s="2">
        <v>23937</v>
      </c>
      <c r="W1022" s="2" t="s">
        <v>2994</v>
      </c>
    </row>
    <row r="1023" spans="21:23" x14ac:dyDescent="0.2">
      <c r="U1023" s="2" t="s">
        <v>4709</v>
      </c>
      <c r="V1023" s="2">
        <v>23938</v>
      </c>
      <c r="W1023" s="2" t="s">
        <v>2994</v>
      </c>
    </row>
    <row r="1024" spans="21:23" x14ac:dyDescent="0.2">
      <c r="U1024" s="2" t="s">
        <v>4710</v>
      </c>
      <c r="V1024" s="2">
        <v>23939</v>
      </c>
      <c r="W1024" s="2" t="s">
        <v>2994</v>
      </c>
    </row>
    <row r="1025" spans="21:23" x14ac:dyDescent="0.2">
      <c r="U1025" s="2" t="s">
        <v>4711</v>
      </c>
      <c r="V1025" s="2">
        <v>23940</v>
      </c>
      <c r="W1025" s="2" t="s">
        <v>2994</v>
      </c>
    </row>
    <row r="1026" spans="21:23" x14ac:dyDescent="0.2">
      <c r="U1026" s="2" t="s">
        <v>4712</v>
      </c>
      <c r="V1026" s="2">
        <v>23941</v>
      </c>
      <c r="W1026" s="2" t="s">
        <v>2994</v>
      </c>
    </row>
    <row r="1027" spans="21:23" x14ac:dyDescent="0.2">
      <c r="U1027" s="2" t="s">
        <v>4713</v>
      </c>
      <c r="V1027" s="2">
        <v>23984</v>
      </c>
      <c r="W1027" s="2" t="s">
        <v>2994</v>
      </c>
    </row>
    <row r="1028" spans="21:23" x14ac:dyDescent="0.2">
      <c r="U1028" s="2" t="s">
        <v>4714</v>
      </c>
      <c r="V1028" s="2">
        <v>23985</v>
      </c>
      <c r="W1028" s="2" t="s">
        <v>2994</v>
      </c>
    </row>
    <row r="1029" spans="21:23" x14ac:dyDescent="0.2">
      <c r="U1029" s="2" t="s">
        <v>4715</v>
      </c>
      <c r="V1029" s="2">
        <v>23986</v>
      </c>
      <c r="W1029" s="2" t="s">
        <v>2994</v>
      </c>
    </row>
    <row r="1030" spans="21:23" x14ac:dyDescent="0.2">
      <c r="U1030" s="2" t="s">
        <v>4716</v>
      </c>
      <c r="V1030" s="2">
        <v>23987</v>
      </c>
      <c r="W1030" s="2" t="s">
        <v>2994</v>
      </c>
    </row>
    <row r="1031" spans="21:23" x14ac:dyDescent="0.2">
      <c r="U1031" s="2" t="s">
        <v>4717</v>
      </c>
      <c r="V1031" s="2">
        <v>24002</v>
      </c>
      <c r="W1031" s="2" t="s">
        <v>2994</v>
      </c>
    </row>
    <row r="1032" spans="21:23" x14ac:dyDescent="0.2">
      <c r="U1032" s="2" t="s">
        <v>4718</v>
      </c>
      <c r="V1032" s="2">
        <v>31903</v>
      </c>
      <c r="W1032" s="2" t="s">
        <v>2994</v>
      </c>
    </row>
    <row r="1033" spans="21:23" x14ac:dyDescent="0.2">
      <c r="U1033" s="2" t="s">
        <v>4719</v>
      </c>
      <c r="V1033" s="2">
        <v>31970</v>
      </c>
      <c r="W1033" s="2" t="s">
        <v>2994</v>
      </c>
    </row>
    <row r="1034" spans="21:23" x14ac:dyDescent="0.2">
      <c r="U1034" s="2" t="s">
        <v>4720</v>
      </c>
      <c r="V1034" s="2">
        <v>31971</v>
      </c>
      <c r="W1034" s="2" t="s">
        <v>2994</v>
      </c>
    </row>
    <row r="1035" spans="21:23" x14ac:dyDescent="0.2">
      <c r="U1035" s="2" t="s">
        <v>4721</v>
      </c>
      <c r="V1035" s="2">
        <v>31972</v>
      </c>
      <c r="W1035" s="2" t="s">
        <v>2994</v>
      </c>
    </row>
    <row r="1036" spans="21:23" x14ac:dyDescent="0.2">
      <c r="U1036" s="2" t="s">
        <v>4722</v>
      </c>
      <c r="V1036" s="2">
        <v>31973</v>
      </c>
      <c r="W1036" s="2" t="s">
        <v>2994</v>
      </c>
    </row>
    <row r="1037" spans="21:23" x14ac:dyDescent="0.2">
      <c r="U1037" s="2" t="s">
        <v>4723</v>
      </c>
      <c r="V1037" s="2">
        <v>31901</v>
      </c>
      <c r="W1037" s="2" t="s">
        <v>2994</v>
      </c>
    </row>
    <row r="1038" spans="21:23" x14ac:dyDescent="0.2">
      <c r="U1038" s="2" t="s">
        <v>4724</v>
      </c>
      <c r="V1038" s="2">
        <v>31962</v>
      </c>
      <c r="W1038" s="2" t="s">
        <v>2994</v>
      </c>
    </row>
    <row r="1039" spans="21:23" x14ac:dyDescent="0.2">
      <c r="U1039" s="2" t="s">
        <v>4725</v>
      </c>
      <c r="V1039" s="2">
        <v>31963</v>
      </c>
      <c r="W1039" s="2" t="s">
        <v>2994</v>
      </c>
    </row>
    <row r="1040" spans="21:23" x14ac:dyDescent="0.2">
      <c r="U1040" s="2" t="s">
        <v>4726</v>
      </c>
      <c r="V1040" s="2">
        <v>31964</v>
      </c>
      <c r="W1040" s="2" t="s">
        <v>2994</v>
      </c>
    </row>
    <row r="1041" spans="21:23" x14ac:dyDescent="0.2">
      <c r="U1041" s="2" t="s">
        <v>4727</v>
      </c>
      <c r="V1041" s="2">
        <v>31965</v>
      </c>
      <c r="W1041" s="2" t="s">
        <v>2994</v>
      </c>
    </row>
    <row r="1042" spans="21:23" x14ac:dyDescent="0.2">
      <c r="U1042" s="2" t="s">
        <v>4728</v>
      </c>
      <c r="V1042" s="2">
        <v>31902</v>
      </c>
      <c r="W1042" s="2" t="s">
        <v>2994</v>
      </c>
    </row>
    <row r="1043" spans="21:23" x14ac:dyDescent="0.2">
      <c r="U1043" s="2" t="s">
        <v>4729</v>
      </c>
      <c r="V1043" s="2">
        <v>31966</v>
      </c>
      <c r="W1043" s="2" t="s">
        <v>2994</v>
      </c>
    </row>
    <row r="1044" spans="21:23" x14ac:dyDescent="0.2">
      <c r="U1044" s="2" t="s">
        <v>4730</v>
      </c>
      <c r="V1044" s="2">
        <v>31967</v>
      </c>
      <c r="W1044" s="2" t="s">
        <v>2994</v>
      </c>
    </row>
    <row r="1045" spans="21:23" x14ac:dyDescent="0.2">
      <c r="U1045" s="2" t="s">
        <v>4731</v>
      </c>
      <c r="V1045" s="2">
        <v>31968</v>
      </c>
      <c r="W1045" s="2" t="s">
        <v>2994</v>
      </c>
    </row>
    <row r="1046" spans="21:23" x14ac:dyDescent="0.2">
      <c r="U1046" s="2" t="s">
        <v>4732</v>
      </c>
      <c r="V1046" s="2">
        <v>31969</v>
      </c>
      <c r="W1046" s="2" t="s">
        <v>2994</v>
      </c>
    </row>
    <row r="1047" spans="21:23" x14ac:dyDescent="0.2">
      <c r="U1047" s="2" t="s">
        <v>4733</v>
      </c>
      <c r="V1047" s="2">
        <v>32074</v>
      </c>
      <c r="W1047" s="2" t="s">
        <v>2994</v>
      </c>
    </row>
    <row r="1048" spans="21:23" x14ac:dyDescent="0.2">
      <c r="U1048" s="2" t="s">
        <v>4734</v>
      </c>
      <c r="V1048" s="2">
        <v>31906</v>
      </c>
      <c r="W1048" s="2" t="s">
        <v>2994</v>
      </c>
    </row>
    <row r="1049" spans="21:23" x14ac:dyDescent="0.2">
      <c r="U1049" s="2" t="s">
        <v>4735</v>
      </c>
      <c r="V1049" s="2">
        <v>31981</v>
      </c>
      <c r="W1049" s="2" t="s">
        <v>2994</v>
      </c>
    </row>
    <row r="1050" spans="21:23" x14ac:dyDescent="0.2">
      <c r="U1050" s="2" t="s">
        <v>4736</v>
      </c>
      <c r="V1050" s="2">
        <v>31982</v>
      </c>
      <c r="W1050" s="2" t="s">
        <v>2994</v>
      </c>
    </row>
    <row r="1051" spans="21:23" x14ac:dyDescent="0.2">
      <c r="U1051" s="2" t="s">
        <v>4737</v>
      </c>
      <c r="V1051" s="2">
        <v>31983</v>
      </c>
      <c r="W1051" s="2" t="s">
        <v>2994</v>
      </c>
    </row>
    <row r="1052" spans="21:23" x14ac:dyDescent="0.2">
      <c r="U1052" s="2" t="s">
        <v>4738</v>
      </c>
      <c r="V1052" s="2">
        <v>31984</v>
      </c>
      <c r="W1052" s="2" t="s">
        <v>2994</v>
      </c>
    </row>
    <row r="1053" spans="21:23" x14ac:dyDescent="0.2">
      <c r="U1053" s="2" t="s">
        <v>4739</v>
      </c>
      <c r="V1053" s="2">
        <v>31904</v>
      </c>
      <c r="W1053" s="2" t="s">
        <v>2994</v>
      </c>
    </row>
    <row r="1054" spans="21:23" x14ac:dyDescent="0.2">
      <c r="U1054" s="2" t="s">
        <v>4740</v>
      </c>
      <c r="V1054" s="2">
        <v>31974</v>
      </c>
      <c r="W1054" s="2" t="s">
        <v>2994</v>
      </c>
    </row>
    <row r="1055" spans="21:23" x14ac:dyDescent="0.2">
      <c r="U1055" s="2" t="s">
        <v>4741</v>
      </c>
      <c r="V1055" s="2">
        <v>31975</v>
      </c>
      <c r="W1055" s="2" t="s">
        <v>2994</v>
      </c>
    </row>
    <row r="1056" spans="21:23" x14ac:dyDescent="0.2">
      <c r="U1056" s="2" t="s">
        <v>4742</v>
      </c>
      <c r="V1056" s="2">
        <v>31985</v>
      </c>
      <c r="W1056" s="2" t="s">
        <v>2994</v>
      </c>
    </row>
    <row r="1057" spans="21:23" x14ac:dyDescent="0.2">
      <c r="U1057" s="2" t="s">
        <v>4743</v>
      </c>
      <c r="V1057" s="2">
        <v>31976</v>
      </c>
      <c r="W1057" s="2" t="s">
        <v>2994</v>
      </c>
    </row>
    <row r="1058" spans="21:23" x14ac:dyDescent="0.2">
      <c r="U1058" s="2" t="s">
        <v>4744</v>
      </c>
      <c r="V1058" s="2">
        <v>31905</v>
      </c>
      <c r="W1058" s="2" t="s">
        <v>2994</v>
      </c>
    </row>
    <row r="1059" spans="21:23" x14ac:dyDescent="0.2">
      <c r="U1059" s="2" t="s">
        <v>4745</v>
      </c>
      <c r="V1059" s="2">
        <v>31977</v>
      </c>
      <c r="W1059" s="2" t="s">
        <v>2994</v>
      </c>
    </row>
    <row r="1060" spans="21:23" x14ac:dyDescent="0.2">
      <c r="U1060" s="2" t="s">
        <v>4746</v>
      </c>
      <c r="V1060" s="2">
        <v>31978</v>
      </c>
      <c r="W1060" s="2" t="s">
        <v>2994</v>
      </c>
    </row>
    <row r="1061" spans="21:23" x14ac:dyDescent="0.2">
      <c r="U1061" s="2" t="s">
        <v>4747</v>
      </c>
      <c r="V1061" s="2">
        <v>31979</v>
      </c>
      <c r="W1061" s="2" t="s">
        <v>2994</v>
      </c>
    </row>
    <row r="1062" spans="21:23" x14ac:dyDescent="0.2">
      <c r="U1062" s="2" t="s">
        <v>4748</v>
      </c>
      <c r="V1062" s="2">
        <v>31980</v>
      </c>
      <c r="W1062" s="2" t="s">
        <v>2994</v>
      </c>
    </row>
    <row r="1063" spans="21:23" x14ac:dyDescent="0.2">
      <c r="U1063" s="2" t="s">
        <v>4749</v>
      </c>
      <c r="V1063" s="2">
        <v>23942</v>
      </c>
      <c r="W1063" s="2" t="s">
        <v>2994</v>
      </c>
    </row>
    <row r="1064" spans="21:23" x14ac:dyDescent="0.2">
      <c r="U1064" s="2" t="s">
        <v>4750</v>
      </c>
      <c r="V1064" s="2">
        <v>23943</v>
      </c>
      <c r="W1064" s="2" t="s">
        <v>2994</v>
      </c>
    </row>
    <row r="1065" spans="21:23" x14ac:dyDescent="0.2">
      <c r="U1065" s="2" t="s">
        <v>4751</v>
      </c>
      <c r="V1065" s="2">
        <v>23944</v>
      </c>
      <c r="W1065" s="2" t="s">
        <v>2994</v>
      </c>
    </row>
    <row r="1066" spans="21:23" x14ac:dyDescent="0.2">
      <c r="U1066" s="2" t="s">
        <v>4752</v>
      </c>
      <c r="V1066" s="2">
        <v>23945</v>
      </c>
      <c r="W1066" s="2" t="s">
        <v>2994</v>
      </c>
    </row>
    <row r="1067" spans="21:23" x14ac:dyDescent="0.2">
      <c r="U1067" s="2" t="s">
        <v>4753</v>
      </c>
      <c r="V1067" s="2">
        <v>23946</v>
      </c>
      <c r="W1067" s="2" t="s">
        <v>2994</v>
      </c>
    </row>
    <row r="1068" spans="21:23" x14ac:dyDescent="0.2">
      <c r="U1068" s="2" t="s">
        <v>4754</v>
      </c>
      <c r="V1068" s="2">
        <v>23947</v>
      </c>
      <c r="W1068" s="2" t="s">
        <v>2994</v>
      </c>
    </row>
    <row r="1069" spans="21:23" x14ac:dyDescent="0.2">
      <c r="U1069" s="2" t="s">
        <v>4755</v>
      </c>
      <c r="V1069" s="2">
        <v>23988</v>
      </c>
      <c r="W1069" s="2" t="s">
        <v>2994</v>
      </c>
    </row>
    <row r="1070" spans="21:23" x14ac:dyDescent="0.2">
      <c r="U1070" s="2" t="s">
        <v>4756</v>
      </c>
      <c r="V1070" s="2">
        <v>23989</v>
      </c>
      <c r="W1070" s="2" t="s">
        <v>2994</v>
      </c>
    </row>
    <row r="1071" spans="21:23" x14ac:dyDescent="0.2">
      <c r="U1071" s="2" t="s">
        <v>4757</v>
      </c>
      <c r="V1071" s="2">
        <v>23990</v>
      </c>
      <c r="W1071" s="2" t="s">
        <v>2994</v>
      </c>
    </row>
    <row r="1072" spans="21:23" x14ac:dyDescent="0.2">
      <c r="U1072" s="2" t="s">
        <v>4758</v>
      </c>
      <c r="V1072" s="2">
        <v>23991</v>
      </c>
      <c r="W1072" s="2" t="s">
        <v>2994</v>
      </c>
    </row>
    <row r="1073" spans="21:23" x14ac:dyDescent="0.2">
      <c r="U1073" s="2" t="s">
        <v>4759</v>
      </c>
      <c r="V1073" s="2">
        <v>24003</v>
      </c>
      <c r="W1073" s="2" t="s">
        <v>2994</v>
      </c>
    </row>
    <row r="1074" spans="21:23" x14ac:dyDescent="0.2">
      <c r="U1074" s="2" t="s">
        <v>4760</v>
      </c>
      <c r="V1074" s="2">
        <v>23948</v>
      </c>
      <c r="W1074" s="2" t="s">
        <v>2994</v>
      </c>
    </row>
    <row r="1075" spans="21:23" x14ac:dyDescent="0.2">
      <c r="U1075" s="2" t="s">
        <v>4760</v>
      </c>
      <c r="V1075" s="2">
        <v>23954</v>
      </c>
      <c r="W1075" s="2" t="s">
        <v>2994</v>
      </c>
    </row>
    <row r="1076" spans="21:23" x14ac:dyDescent="0.2">
      <c r="U1076" s="2" t="s">
        <v>4761</v>
      </c>
      <c r="V1076" s="2">
        <v>23955</v>
      </c>
      <c r="W1076" s="2" t="s">
        <v>2994</v>
      </c>
    </row>
    <row r="1077" spans="21:23" x14ac:dyDescent="0.2">
      <c r="U1077" s="2" t="s">
        <v>4761</v>
      </c>
      <c r="V1077" s="2">
        <v>23949</v>
      </c>
      <c r="W1077" s="2" t="s">
        <v>2994</v>
      </c>
    </row>
    <row r="1078" spans="21:23" x14ac:dyDescent="0.2">
      <c r="U1078" s="2" t="s">
        <v>4762</v>
      </c>
      <c r="V1078" s="2">
        <v>23956</v>
      </c>
      <c r="W1078" s="2" t="s">
        <v>2994</v>
      </c>
    </row>
    <row r="1079" spans="21:23" x14ac:dyDescent="0.2">
      <c r="U1079" s="2" t="s">
        <v>4762</v>
      </c>
      <c r="V1079" s="2">
        <v>23950</v>
      </c>
      <c r="W1079" s="2" t="s">
        <v>2994</v>
      </c>
    </row>
    <row r="1080" spans="21:23" x14ac:dyDescent="0.2">
      <c r="U1080" s="2" t="s">
        <v>4763</v>
      </c>
      <c r="V1080" s="2">
        <v>23951</v>
      </c>
      <c r="W1080" s="2" t="s">
        <v>2994</v>
      </c>
    </row>
    <row r="1081" spans="21:23" x14ac:dyDescent="0.2">
      <c r="U1081" s="2" t="s">
        <v>4763</v>
      </c>
      <c r="V1081" s="2">
        <v>23957</v>
      </c>
      <c r="W1081" s="2" t="s">
        <v>2994</v>
      </c>
    </row>
    <row r="1082" spans="21:23" x14ac:dyDescent="0.2">
      <c r="U1082" s="2" t="s">
        <v>4764</v>
      </c>
      <c r="V1082" s="2">
        <v>23958</v>
      </c>
      <c r="W1082" s="2" t="s">
        <v>2994</v>
      </c>
    </row>
    <row r="1083" spans="21:23" x14ac:dyDescent="0.2">
      <c r="U1083" s="2" t="s">
        <v>4764</v>
      </c>
      <c r="V1083" s="2">
        <v>23952</v>
      </c>
      <c r="W1083" s="2" t="s">
        <v>2994</v>
      </c>
    </row>
    <row r="1084" spans="21:23" x14ac:dyDescent="0.2">
      <c r="U1084" s="2" t="s">
        <v>4765</v>
      </c>
      <c r="V1084" s="2">
        <v>23953</v>
      </c>
      <c r="W1084" s="2" t="s">
        <v>2994</v>
      </c>
    </row>
    <row r="1085" spans="21:23" x14ac:dyDescent="0.2">
      <c r="U1085" s="2" t="s">
        <v>4765</v>
      </c>
      <c r="V1085" s="2">
        <v>23959</v>
      </c>
      <c r="W1085" s="2" t="s">
        <v>2994</v>
      </c>
    </row>
    <row r="1086" spans="21:23" x14ac:dyDescent="0.2">
      <c r="U1086" s="2" t="s">
        <v>4766</v>
      </c>
      <c r="V1086" s="2">
        <v>23992</v>
      </c>
      <c r="W1086" s="2" t="s">
        <v>2994</v>
      </c>
    </row>
    <row r="1087" spans="21:23" x14ac:dyDescent="0.2">
      <c r="U1087" s="2" t="s">
        <v>4767</v>
      </c>
      <c r="V1087" s="2">
        <v>23993</v>
      </c>
      <c r="W1087" s="2" t="s">
        <v>2994</v>
      </c>
    </row>
    <row r="1088" spans="21:23" x14ac:dyDescent="0.2">
      <c r="U1088" s="2" t="s">
        <v>4768</v>
      </c>
      <c r="V1088" s="2">
        <v>23994</v>
      </c>
      <c r="W1088" s="2" t="s">
        <v>2994</v>
      </c>
    </row>
    <row r="1089" spans="21:23" x14ac:dyDescent="0.2">
      <c r="U1089" s="2" t="s">
        <v>4769</v>
      </c>
      <c r="V1089" s="2">
        <v>23995</v>
      </c>
      <c r="W1089" s="2" t="s">
        <v>2994</v>
      </c>
    </row>
    <row r="1090" spans="21:23" x14ac:dyDescent="0.2">
      <c r="U1090" s="2" t="s">
        <v>4770</v>
      </c>
      <c r="V1090" s="2">
        <v>24004</v>
      </c>
      <c r="W1090" s="2" t="s">
        <v>2994</v>
      </c>
    </row>
    <row r="1091" spans="21:23" x14ac:dyDescent="0.2">
      <c r="U1091" s="2" t="s">
        <v>4771</v>
      </c>
      <c r="V1091" s="2">
        <v>28286</v>
      </c>
      <c r="W1091" s="2" t="s">
        <v>2994</v>
      </c>
    </row>
    <row r="1092" spans="21:23" x14ac:dyDescent="0.2">
      <c r="U1092" s="2" t="s">
        <v>4772</v>
      </c>
      <c r="V1092" s="2">
        <v>28284</v>
      </c>
      <c r="W1092" s="2" t="s">
        <v>2994</v>
      </c>
    </row>
    <row r="1093" spans="21:23" x14ac:dyDescent="0.2">
      <c r="U1093" s="2" t="s">
        <v>4773</v>
      </c>
      <c r="V1093" s="2">
        <v>28285</v>
      </c>
      <c r="W1093" s="2" t="s">
        <v>2994</v>
      </c>
    </row>
    <row r="1094" spans="21:23" x14ac:dyDescent="0.2">
      <c r="U1094" s="2" t="s">
        <v>4774</v>
      </c>
      <c r="V1094" s="2">
        <v>30174</v>
      </c>
      <c r="W1094" s="2" t="s">
        <v>2994</v>
      </c>
    </row>
    <row r="1095" spans="21:23" x14ac:dyDescent="0.2">
      <c r="U1095" s="2" t="s">
        <v>4775</v>
      </c>
      <c r="V1095" s="2">
        <v>30183</v>
      </c>
      <c r="W1095" s="2" t="s">
        <v>2994</v>
      </c>
    </row>
    <row r="1096" spans="21:23" x14ac:dyDescent="0.2">
      <c r="U1096" s="2" t="s">
        <v>4776</v>
      </c>
      <c r="V1096" s="2">
        <v>30184</v>
      </c>
      <c r="W1096" s="2" t="s">
        <v>2994</v>
      </c>
    </row>
    <row r="1097" spans="21:23" x14ac:dyDescent="0.2">
      <c r="U1097" s="2" t="s">
        <v>4777</v>
      </c>
      <c r="V1097" s="2">
        <v>30185</v>
      </c>
      <c r="W1097" s="2" t="s">
        <v>2994</v>
      </c>
    </row>
    <row r="1098" spans="21:23" x14ac:dyDescent="0.2">
      <c r="U1098" s="2" t="s">
        <v>4778</v>
      </c>
      <c r="V1098" s="2">
        <v>30186</v>
      </c>
      <c r="W1098" s="2" t="s">
        <v>2994</v>
      </c>
    </row>
    <row r="1099" spans="21:23" x14ac:dyDescent="0.2">
      <c r="U1099" s="2" t="s">
        <v>4779</v>
      </c>
      <c r="V1099" s="2">
        <v>30187</v>
      </c>
      <c r="W1099" s="2" t="s">
        <v>2994</v>
      </c>
    </row>
    <row r="1100" spans="21:23" x14ac:dyDescent="0.2">
      <c r="U1100" s="2" t="s">
        <v>4780</v>
      </c>
      <c r="V1100" s="2">
        <v>30188</v>
      </c>
      <c r="W1100" s="2" t="s">
        <v>2994</v>
      </c>
    </row>
    <row r="1101" spans="21:23" x14ac:dyDescent="0.2">
      <c r="U1101" s="2" t="s">
        <v>4781</v>
      </c>
      <c r="V1101" s="2">
        <v>30175</v>
      </c>
      <c r="W1101" s="2" t="s">
        <v>2994</v>
      </c>
    </row>
    <row r="1102" spans="21:23" x14ac:dyDescent="0.2">
      <c r="U1102" s="2" t="s">
        <v>4782</v>
      </c>
      <c r="V1102" s="2">
        <v>30176</v>
      </c>
      <c r="W1102" s="2" t="s">
        <v>2994</v>
      </c>
    </row>
    <row r="1103" spans="21:23" x14ac:dyDescent="0.2">
      <c r="U1103" s="2" t="s">
        <v>4783</v>
      </c>
      <c r="V1103" s="2">
        <v>30177</v>
      </c>
      <c r="W1103" s="2" t="s">
        <v>2994</v>
      </c>
    </row>
    <row r="1104" spans="21:23" x14ac:dyDescent="0.2">
      <c r="U1104" s="2" t="s">
        <v>4784</v>
      </c>
      <c r="V1104" s="2">
        <v>30178</v>
      </c>
      <c r="W1104" s="2" t="s">
        <v>2994</v>
      </c>
    </row>
    <row r="1105" spans="21:23" x14ac:dyDescent="0.2">
      <c r="U1105" s="2" t="s">
        <v>4785</v>
      </c>
      <c r="V1105" s="2">
        <v>30179</v>
      </c>
      <c r="W1105" s="2" t="s">
        <v>2994</v>
      </c>
    </row>
    <row r="1106" spans="21:23" x14ac:dyDescent="0.2">
      <c r="U1106" s="2" t="s">
        <v>4786</v>
      </c>
      <c r="V1106" s="2">
        <v>30180</v>
      </c>
      <c r="W1106" s="2" t="s">
        <v>2994</v>
      </c>
    </row>
    <row r="1107" spans="21:23" x14ac:dyDescent="0.2">
      <c r="U1107" s="2" t="s">
        <v>4787</v>
      </c>
      <c r="V1107" s="2">
        <v>30181</v>
      </c>
      <c r="W1107" s="2" t="s">
        <v>2994</v>
      </c>
    </row>
    <row r="1108" spans="21:23" x14ac:dyDescent="0.2">
      <c r="U1108" s="2" t="s">
        <v>4788</v>
      </c>
      <c r="V1108" s="2">
        <v>30182</v>
      </c>
      <c r="W1108" s="2" t="s">
        <v>2994</v>
      </c>
    </row>
    <row r="1109" spans="21:23" x14ac:dyDescent="0.2">
      <c r="U1109" s="2" t="s">
        <v>4789</v>
      </c>
      <c r="V1109" s="2">
        <v>29234</v>
      </c>
      <c r="W1109" s="2" t="s">
        <v>2994</v>
      </c>
    </row>
    <row r="1110" spans="21:23" x14ac:dyDescent="0.2">
      <c r="U1110" s="2" t="s">
        <v>4790</v>
      </c>
      <c r="V1110" s="2">
        <v>29235</v>
      </c>
      <c r="W1110" s="2" t="s">
        <v>2994</v>
      </c>
    </row>
    <row r="1111" spans="21:23" x14ac:dyDescent="0.2">
      <c r="U1111" s="2" t="s">
        <v>4791</v>
      </c>
      <c r="V1111" s="2">
        <v>29236</v>
      </c>
      <c r="W1111" s="2" t="s">
        <v>2994</v>
      </c>
    </row>
    <row r="1112" spans="21:23" x14ac:dyDescent="0.2">
      <c r="U1112" s="2" t="s">
        <v>4792</v>
      </c>
      <c r="V1112" s="2">
        <v>30876</v>
      </c>
      <c r="W1112" s="2" t="s">
        <v>2994</v>
      </c>
    </row>
    <row r="1113" spans="21:23" x14ac:dyDescent="0.2">
      <c r="U1113" s="2" t="s">
        <v>4793</v>
      </c>
      <c r="V1113" s="2">
        <v>30877</v>
      </c>
      <c r="W1113" s="2" t="s">
        <v>2994</v>
      </c>
    </row>
    <row r="1114" spans="21:23" x14ac:dyDescent="0.2">
      <c r="U1114" s="2" t="s">
        <v>4794</v>
      </c>
      <c r="V1114" s="2">
        <v>30878</v>
      </c>
      <c r="W1114" s="2" t="s">
        <v>2994</v>
      </c>
    </row>
    <row r="1115" spans="21:23" x14ac:dyDescent="0.2">
      <c r="U1115" s="2" t="s">
        <v>4795</v>
      </c>
      <c r="V1115" s="2">
        <v>30879</v>
      </c>
      <c r="W1115" s="2" t="s">
        <v>2994</v>
      </c>
    </row>
    <row r="1116" spans="21:23" x14ac:dyDescent="0.2">
      <c r="U1116" s="2" t="s">
        <v>4796</v>
      </c>
      <c r="V1116" s="2">
        <v>30880</v>
      </c>
      <c r="W1116" s="2" t="s">
        <v>2994</v>
      </c>
    </row>
    <row r="1117" spans="21:23" x14ac:dyDescent="0.2">
      <c r="U1117" s="2" t="s">
        <v>4797</v>
      </c>
      <c r="V1117" s="2">
        <v>30881</v>
      </c>
      <c r="W1117" s="2" t="s">
        <v>2994</v>
      </c>
    </row>
    <row r="1118" spans="21:23" x14ac:dyDescent="0.2">
      <c r="U1118" s="2" t="s">
        <v>4798</v>
      </c>
      <c r="V1118" s="2">
        <v>30882</v>
      </c>
      <c r="W1118" s="2" t="s">
        <v>2994</v>
      </c>
    </row>
    <row r="1119" spans="21:23" x14ac:dyDescent="0.2">
      <c r="U1119" s="2" t="s">
        <v>4799</v>
      </c>
      <c r="V1119" s="2">
        <v>30883</v>
      </c>
      <c r="W1119" s="2" t="s">
        <v>2994</v>
      </c>
    </row>
    <row r="1120" spans="21:23" x14ac:dyDescent="0.2">
      <c r="U1120" s="2" t="s">
        <v>4800</v>
      </c>
      <c r="V1120" s="2">
        <v>30884</v>
      </c>
      <c r="W1120" s="2" t="s">
        <v>2994</v>
      </c>
    </row>
    <row r="1121" spans="21:23" x14ac:dyDescent="0.2">
      <c r="U1121" s="2" t="s">
        <v>4801</v>
      </c>
      <c r="V1121" s="2">
        <v>30885</v>
      </c>
      <c r="W1121" s="2" t="s">
        <v>2994</v>
      </c>
    </row>
  </sheetData>
  <sheetProtection algorithmName="SHA-512" hashValue="RRRffXPaitQb5PLOHj3VpeLXLrB8RAuCsaShbN09uFxKp2nnF1p9jewE2xLjqB1e8cBjdAlnC/68+KhhpOjwfA==" saltValue="K817RmJ5F2P8l5M+6k+w/w==" spinCount="100000" sheet="1" objects="1" scenarios="1"/>
  <mergeCells count="334">
    <mergeCell ref="AW12:BA12"/>
    <mergeCell ref="AW33:BA33"/>
    <mergeCell ref="AI12:AO12"/>
    <mergeCell ref="AI33:AO33"/>
    <mergeCell ref="AF86:AG86"/>
    <mergeCell ref="AF78:AG78"/>
    <mergeCell ref="AF85:AG85"/>
    <mergeCell ref="AF51:AG51"/>
    <mergeCell ref="AF72:AG72"/>
    <mergeCell ref="AF64:AG64"/>
    <mergeCell ref="AF65:AG65"/>
    <mergeCell ref="AF55:AG55"/>
    <mergeCell ref="AF69:AG69"/>
    <mergeCell ref="AF61:AG61"/>
    <mergeCell ref="AF70:AG70"/>
    <mergeCell ref="AF63:AG63"/>
    <mergeCell ref="AF48:AG48"/>
    <mergeCell ref="AF45:AG45"/>
    <mergeCell ref="AF54:AG54"/>
    <mergeCell ref="AF47:AG47"/>
    <mergeCell ref="AP12:AV12"/>
    <mergeCell ref="AP33:AV33"/>
    <mergeCell ref="AF134:AG134"/>
    <mergeCell ref="AF71:AG71"/>
    <mergeCell ref="AF116:AG116"/>
    <mergeCell ref="AF44:AG44"/>
    <mergeCell ref="AF50:AG50"/>
    <mergeCell ref="AF36:AG36"/>
    <mergeCell ref="AF34:AG34"/>
    <mergeCell ref="AF35:AG35"/>
    <mergeCell ref="AF42:AG42"/>
    <mergeCell ref="AF39:AG39"/>
    <mergeCell ref="AF40:AG40"/>
    <mergeCell ref="AF41:AG41"/>
    <mergeCell ref="AF37:AG37"/>
    <mergeCell ref="AF38:AG38"/>
    <mergeCell ref="AF92:AG92"/>
    <mergeCell ref="AF102:AG102"/>
    <mergeCell ref="AF66:AG66"/>
    <mergeCell ref="AF58:AG58"/>
    <mergeCell ref="AF57:AG57"/>
    <mergeCell ref="AF62:AG62"/>
    <mergeCell ref="AF83:AG83"/>
    <mergeCell ref="AF52:AG52"/>
    <mergeCell ref="AF96:AG96"/>
    <mergeCell ref="AF97:AG97"/>
    <mergeCell ref="AE184:AE233"/>
    <mergeCell ref="AF125:AG125"/>
    <mergeCell ref="AF133:AG133"/>
    <mergeCell ref="AF144:AG144"/>
    <mergeCell ref="AF135:AG135"/>
    <mergeCell ref="AF138:AG138"/>
    <mergeCell ref="AF153:AG153"/>
    <mergeCell ref="AF149:AG149"/>
    <mergeCell ref="AF160:AG160"/>
    <mergeCell ref="AF159:AG159"/>
    <mergeCell ref="AF187:AG187"/>
    <mergeCell ref="AF183:AG183"/>
    <mergeCell ref="AF141:AG141"/>
    <mergeCell ref="AF145:AG145"/>
    <mergeCell ref="AF131:AG131"/>
    <mergeCell ref="AF176:AG176"/>
    <mergeCell ref="AF188:AG188"/>
    <mergeCell ref="AF140:AG140"/>
    <mergeCell ref="AF191:AG191"/>
    <mergeCell ref="AF142:AG142"/>
    <mergeCell ref="AF150:AG150"/>
    <mergeCell ref="AF143:AG143"/>
    <mergeCell ref="AF147:AG147"/>
    <mergeCell ref="AF231:AG231"/>
    <mergeCell ref="A1:AC1"/>
    <mergeCell ref="AF84:AG84"/>
    <mergeCell ref="AD1:AG3"/>
    <mergeCell ref="AD4:AG10"/>
    <mergeCell ref="AF33:AG33"/>
    <mergeCell ref="AF46:AG46"/>
    <mergeCell ref="AF43:AG43"/>
    <mergeCell ref="AF56:AG56"/>
    <mergeCell ref="AE84:AE108"/>
    <mergeCell ref="AF53:AG53"/>
    <mergeCell ref="AF73:AG73"/>
    <mergeCell ref="AF80:AG80"/>
    <mergeCell ref="AF77:AG77"/>
    <mergeCell ref="AF68:AG68"/>
    <mergeCell ref="AF75:AG75"/>
    <mergeCell ref="AF60:AG60"/>
    <mergeCell ref="AF82:AG82"/>
    <mergeCell ref="AF101:AG101"/>
    <mergeCell ref="AF74:AG74"/>
    <mergeCell ref="AF67:AG67"/>
    <mergeCell ref="AF76:AG76"/>
    <mergeCell ref="AF98:AG98"/>
    <mergeCell ref="AF59:AG59"/>
    <mergeCell ref="AD34:AD233"/>
    <mergeCell ref="AE34:AE83"/>
    <mergeCell ref="AF175:AG175"/>
    <mergeCell ref="AF184:AG184"/>
    <mergeCell ref="AF201:AG201"/>
    <mergeCell ref="AF193:AG193"/>
    <mergeCell ref="AF117:AG117"/>
    <mergeCell ref="AF118:AG118"/>
    <mergeCell ref="AF124:AG124"/>
    <mergeCell ref="AF122:AG122"/>
    <mergeCell ref="AF151:AG151"/>
    <mergeCell ref="AF132:AG132"/>
    <mergeCell ref="AF161:AG161"/>
    <mergeCell ref="AF166:AG166"/>
    <mergeCell ref="AF168:AG168"/>
    <mergeCell ref="AF167:AG167"/>
    <mergeCell ref="AF164:AG164"/>
    <mergeCell ref="AF119:AG119"/>
    <mergeCell ref="AF128:AG128"/>
    <mergeCell ref="AF162:AG162"/>
    <mergeCell ref="AF195:AG195"/>
    <mergeCell ref="AF49:AG49"/>
    <mergeCell ref="AF194:AG194"/>
    <mergeCell ref="AF171:AG171"/>
    <mergeCell ref="AF79:AG79"/>
    <mergeCell ref="AF103:AG103"/>
    <mergeCell ref="AF127:AG127"/>
    <mergeCell ref="AF177:AG177"/>
    <mergeCell ref="AF129:AG129"/>
    <mergeCell ref="AF173:AG173"/>
    <mergeCell ref="AF155:AG155"/>
    <mergeCell ref="AF114:AG114"/>
    <mergeCell ref="AF81:AG81"/>
    <mergeCell ref="AF158:AG158"/>
    <mergeCell ref="AF91:AG91"/>
    <mergeCell ref="AF90:AG90"/>
    <mergeCell ref="AF89:AG89"/>
    <mergeCell ref="AF107:AG107"/>
    <mergeCell ref="AF123:AG123"/>
    <mergeCell ref="AF157:AG157"/>
    <mergeCell ref="AF139:AG139"/>
    <mergeCell ref="AF146:AG146"/>
    <mergeCell ref="AF152:AG152"/>
    <mergeCell ref="AF148:AG148"/>
    <mergeCell ref="AF87:AG87"/>
    <mergeCell ref="AF111:AG111"/>
    <mergeCell ref="AF115:AG115"/>
    <mergeCell ref="AF108:AG108"/>
    <mergeCell ref="AF94:AG94"/>
    <mergeCell ref="AF232:AG232"/>
    <mergeCell ref="AF219:AG219"/>
    <mergeCell ref="AF203:AG203"/>
    <mergeCell ref="AF204:AG204"/>
    <mergeCell ref="AF198:AG198"/>
    <mergeCell ref="AF105:AG105"/>
    <mergeCell ref="AF104:AG104"/>
    <mergeCell ref="AF93:AG93"/>
    <mergeCell ref="AF100:AG100"/>
    <mergeCell ref="AF106:AG106"/>
    <mergeCell ref="AF95:AG95"/>
    <mergeCell ref="AF126:AG126"/>
    <mergeCell ref="AF120:AG120"/>
    <mergeCell ref="AF185:AG185"/>
    <mergeCell ref="AF112:AG112"/>
    <mergeCell ref="AF121:AG121"/>
    <mergeCell ref="AF225:AG225"/>
    <mergeCell ref="AF226:AG226"/>
    <mergeCell ref="AF212:AG212"/>
    <mergeCell ref="AF170:AG170"/>
    <mergeCell ref="AF169:AG169"/>
    <mergeCell ref="AF163:AG163"/>
    <mergeCell ref="AF172:AG172"/>
    <mergeCell ref="AF221:AG221"/>
    <mergeCell ref="AF208:AG208"/>
    <mergeCell ref="AF196:AG196"/>
    <mergeCell ref="AF205:AG205"/>
    <mergeCell ref="AF192:AG192"/>
    <mergeCell ref="AF174:AG174"/>
    <mergeCell ref="AF190:AG190"/>
    <mergeCell ref="AF182:AG182"/>
    <mergeCell ref="AF181:AG181"/>
    <mergeCell ref="AF210:AG210"/>
    <mergeCell ref="AF199:AG199"/>
    <mergeCell ref="AF197:AG197"/>
    <mergeCell ref="AF178:AG178"/>
    <mergeCell ref="AF179:AG179"/>
    <mergeCell ref="AF207:AG207"/>
    <mergeCell ref="AF278:AG278"/>
    <mergeCell ref="AF256:AG256"/>
    <mergeCell ref="AF257:AG257"/>
    <mergeCell ref="AF258:AG258"/>
    <mergeCell ref="AF272:AG272"/>
    <mergeCell ref="AF300:AG300"/>
    <mergeCell ref="AF291:AG291"/>
    <mergeCell ref="AF275:AG275"/>
    <mergeCell ref="AF276:AG276"/>
    <mergeCell ref="AF277:AG277"/>
    <mergeCell ref="AF265:AG265"/>
    <mergeCell ref="AF299:AG299"/>
    <mergeCell ref="AE134:AE158"/>
    <mergeCell ref="AF136:AG136"/>
    <mergeCell ref="AF186:AG186"/>
    <mergeCell ref="AE159:AE183"/>
    <mergeCell ref="AF332:AG332"/>
    <mergeCell ref="AF280:AG280"/>
    <mergeCell ref="AF263:AG263"/>
    <mergeCell ref="AF264:AG264"/>
    <mergeCell ref="AF302:AG302"/>
    <mergeCell ref="AF303:AG303"/>
    <mergeCell ref="AF304:AG304"/>
    <mergeCell ref="AF305:AG305"/>
    <mergeCell ref="AF306:AG306"/>
    <mergeCell ref="AF312:AG312"/>
    <mergeCell ref="AF313:AG313"/>
    <mergeCell ref="AF325:AG325"/>
    <mergeCell ref="AF328:AG328"/>
    <mergeCell ref="AF326:AG326"/>
    <mergeCell ref="AF324:AG324"/>
    <mergeCell ref="AF327:AG327"/>
    <mergeCell ref="AF211:AG211"/>
    <mergeCell ref="AF209:AG209"/>
    <mergeCell ref="AF202:AG202"/>
    <mergeCell ref="AF206:AG206"/>
    <mergeCell ref="AF336:AG336"/>
    <mergeCell ref="AF238:AG238"/>
    <mergeCell ref="AF243:AG243"/>
    <mergeCell ref="AF244:AG244"/>
    <mergeCell ref="AF251:AG251"/>
    <mergeCell ref="AF252:AG252"/>
    <mergeCell ref="AF253:AG253"/>
    <mergeCell ref="AF247:AG247"/>
    <mergeCell ref="AF250:AG250"/>
    <mergeCell ref="AF249:AG249"/>
    <mergeCell ref="AF248:AG248"/>
    <mergeCell ref="AF266:AG266"/>
    <mergeCell ref="AF259:AG259"/>
    <mergeCell ref="AF260:AG260"/>
    <mergeCell ref="AF287:AG287"/>
    <mergeCell ref="AF270:AG270"/>
    <mergeCell ref="AF255:AG255"/>
    <mergeCell ref="AF308:AG308"/>
    <mergeCell ref="AF281:AG281"/>
    <mergeCell ref="AF273:AG273"/>
    <mergeCell ref="AF274:AG274"/>
    <mergeCell ref="AF267:AG267"/>
    <mergeCell ref="AF268:AG268"/>
    <mergeCell ref="AF269:AG269"/>
    <mergeCell ref="AF228:AG228"/>
    <mergeCell ref="AF229:AG229"/>
    <mergeCell ref="AF113:AG113"/>
    <mergeCell ref="AF180:AG180"/>
    <mergeCell ref="Q650:R650"/>
    <mergeCell ref="S650:T650"/>
    <mergeCell ref="AF337:AG337"/>
    <mergeCell ref="AF339:AG339"/>
    <mergeCell ref="AF338:AG338"/>
    <mergeCell ref="U650:W650"/>
    <mergeCell ref="AF341:AG341"/>
    <mergeCell ref="AF311:AG311"/>
    <mergeCell ref="AF296:AG296"/>
    <mergeCell ref="AF322:AG322"/>
    <mergeCell ref="AF323:AG323"/>
    <mergeCell ref="AF330:AG330"/>
    <mergeCell ref="AF329:AG329"/>
    <mergeCell ref="AF301:AG301"/>
    <mergeCell ref="AF335:AG335"/>
    <mergeCell ref="AF309:AG309"/>
    <mergeCell ref="AF310:AG310"/>
    <mergeCell ref="AF331:AG331"/>
    <mergeCell ref="AF316:AG316"/>
    <mergeCell ref="AF333:AG333"/>
    <mergeCell ref="AF236:AG236"/>
    <mergeCell ref="AF237:AG237"/>
    <mergeCell ref="AF321:AG321"/>
    <mergeCell ref="AF334:AG334"/>
    <mergeCell ref="AF317:AG317"/>
    <mergeCell ref="AF297:AG297"/>
    <mergeCell ref="AF298:AG298"/>
    <mergeCell ref="AF307:AG307"/>
    <mergeCell ref="AE109:AE133"/>
    <mergeCell ref="AF109:AG109"/>
    <mergeCell ref="AF110:AG110"/>
    <mergeCell ref="AF282:AG282"/>
    <mergeCell ref="AF294:AG294"/>
    <mergeCell ref="AF288:AG288"/>
    <mergeCell ref="AF292:AG292"/>
    <mergeCell ref="AF293:AG293"/>
    <mergeCell ref="AF283:AG283"/>
    <mergeCell ref="AF284:AG284"/>
    <mergeCell ref="AF285:AG285"/>
    <mergeCell ref="AF279:AG279"/>
    <mergeCell ref="AF200:AG200"/>
    <mergeCell ref="AF271:AG271"/>
    <mergeCell ref="AF261:AG261"/>
    <mergeCell ref="AF262:AG262"/>
    <mergeCell ref="AF215:AG215"/>
    <mergeCell ref="AF216:AG216"/>
    <mergeCell ref="AF220:AG220"/>
    <mergeCell ref="AF222:AG222"/>
    <mergeCell ref="AF189:AG189"/>
    <mergeCell ref="AF315:AG315"/>
    <mergeCell ref="AF320:AG320"/>
    <mergeCell ref="AF286:AG286"/>
    <mergeCell ref="AF289:AG289"/>
    <mergeCell ref="AF290:AG290"/>
    <mergeCell ref="AF314:AG314"/>
    <mergeCell ref="AF295:AG295"/>
    <mergeCell ref="AF230:AG230"/>
    <mergeCell ref="AF224:AG224"/>
    <mergeCell ref="AF245:AG245"/>
    <mergeCell ref="AF246:AG246"/>
    <mergeCell ref="AF318:AG318"/>
    <mergeCell ref="AF319:AG319"/>
    <mergeCell ref="AF254:AG254"/>
    <mergeCell ref="AF239:AG239"/>
    <mergeCell ref="AF240:AG240"/>
    <mergeCell ref="AF241:AG241"/>
    <mergeCell ref="AF242:AG242"/>
    <mergeCell ref="AF235:AG235"/>
    <mergeCell ref="AF99:AG99"/>
    <mergeCell ref="AF88:AG88"/>
    <mergeCell ref="AF156:AG156"/>
    <mergeCell ref="E650:F650"/>
    <mergeCell ref="G650:H650"/>
    <mergeCell ref="I650:J650"/>
    <mergeCell ref="K650:L650"/>
    <mergeCell ref="M650:N650"/>
    <mergeCell ref="O650:P650"/>
    <mergeCell ref="AF137:AG137"/>
    <mergeCell ref="AF154:AG154"/>
    <mergeCell ref="AF130:AG130"/>
    <mergeCell ref="Y650:Z650"/>
    <mergeCell ref="AF340:AG340"/>
    <mergeCell ref="AF233:AG233"/>
    <mergeCell ref="AF234:AG234"/>
    <mergeCell ref="AF217:AG217"/>
    <mergeCell ref="AF218:AG218"/>
    <mergeCell ref="AF227:AG227"/>
    <mergeCell ref="AF213:AG213"/>
    <mergeCell ref="AF214:AG214"/>
    <mergeCell ref="AF223:AG223"/>
  </mergeCells>
  <phoneticPr fontId="0" type="noConversion"/>
  <dataValidations count="276">
    <dataValidation type="list" operator="equal" allowBlank="1" showInputMessage="1" showErrorMessage="1" error="Invalid Entry" sqref="AI13" xr:uid="{29DB91CA-04EC-45B8-AFBC-1BA77515B415}">
      <formula1>$A$651:$A$652</formula1>
    </dataValidation>
    <dataValidation type="decimal" allowBlank="1" showInputMessage="1" showErrorMessage="1" error="Value must be between 0 and 100000." sqref="AI162" xr:uid="{25861724-36DD-4AC2-8E5D-D6F165CDDB90}">
      <formula1>0</formula1>
      <formula2>100000</formula2>
    </dataValidation>
    <dataValidation type="date" operator="greaterThan" allowBlank="1" showInputMessage="1" showErrorMessage="1" error="Invalid Date/Time value." sqref="AI165" xr:uid="{2DA23AFF-E6F1-42A9-827F-4A27210DA696}">
      <formula1>36526</formula1>
    </dataValidation>
    <dataValidation type="list" operator="equal" allowBlank="1" showInputMessage="1" showErrorMessage="1" error="Invalid Entry" sqref="AJ13" xr:uid="{85697F43-8FCA-4D8A-B8EA-9C5A124C9EE3}">
      <formula1>$A$651:$A$652</formula1>
    </dataValidation>
    <dataValidation type="decimal" allowBlank="1" showInputMessage="1" showErrorMessage="1" error="Value must be between 0 and 100000." sqref="AJ162" xr:uid="{9C0CFBDD-68B0-4A1A-80AE-291C983D085D}">
      <formula1>0</formula1>
      <formula2>100000</formula2>
    </dataValidation>
    <dataValidation type="date" operator="greaterThan" allowBlank="1" showInputMessage="1" showErrorMessage="1" error="Invalid Date/Time value." sqref="AJ165" xr:uid="{114D1CC5-D746-498D-BA2D-B2AAF64B86AB}">
      <formula1>36526</formula1>
    </dataValidation>
    <dataValidation type="list" operator="equal" allowBlank="1" showInputMessage="1" showErrorMessage="1" error="Invalid Entry" sqref="AK13" xr:uid="{B386E236-8DCF-4C77-BEC8-921BB5A58408}">
      <formula1>$A$651:$A$652</formula1>
    </dataValidation>
    <dataValidation type="decimal" allowBlank="1" showInputMessage="1" showErrorMessage="1" error="Value must be between 0 and 100000." sqref="AK162" xr:uid="{D4911B01-5FAC-4653-8BA3-BB5B6A7F03A8}">
      <formula1>0</formula1>
      <formula2>100000</formula2>
    </dataValidation>
    <dataValidation type="date" operator="greaterThan" allowBlank="1" showInputMessage="1" showErrorMessage="1" error="Invalid Date/Time value." sqref="AK165" xr:uid="{6D3B6166-A17E-44B3-A299-6FDC99B5A15B}">
      <formula1>36526</formula1>
    </dataValidation>
    <dataValidation type="list" operator="equal" allowBlank="1" showInputMessage="1" showErrorMessage="1" error="Invalid Entry" sqref="AL13" xr:uid="{0DA0D328-784E-44EA-89F9-89E1C6D2AE6B}">
      <formula1>$A$651:$A$652</formula1>
    </dataValidation>
    <dataValidation type="decimal" allowBlank="1" showInputMessage="1" showErrorMessage="1" error="Value must be between 0 and 14." sqref="AL161" xr:uid="{4C673179-BA39-4E12-98C2-8FD89229CD04}">
      <formula1>0</formula1>
      <formula2>14</formula2>
    </dataValidation>
    <dataValidation type="date" operator="greaterThan" allowBlank="1" showInputMessage="1" showErrorMessage="1" error="Invalid Date/Time value." sqref="AL165" xr:uid="{193AD9F6-F7C8-4EFA-9911-6542EBC4A019}">
      <formula1>36526</formula1>
    </dataValidation>
    <dataValidation type="list" operator="equal" allowBlank="1" showInputMessage="1" showErrorMessage="1" error="Invalid Entry" sqref="AM13" xr:uid="{AB30C623-E24E-481B-B6B0-C1B8AA3D07AA}">
      <formula1>$A$651:$A$652</formula1>
    </dataValidation>
    <dataValidation type="decimal" allowBlank="1" showInputMessage="1" showErrorMessage="1" error="Value must be between 0 and 14." sqref="AM161" xr:uid="{ACDB3314-B67B-4B88-B8E4-C72CDF40E1EF}">
      <formula1>0</formula1>
      <formula2>14</formula2>
    </dataValidation>
    <dataValidation type="date" operator="greaterThan" allowBlank="1" showInputMessage="1" showErrorMessage="1" error="Invalid Date/Time value." sqref="AM165" xr:uid="{6E2B51B0-564F-4C17-B3FF-7DE45D7E059F}">
      <formula1>36526</formula1>
    </dataValidation>
    <dataValidation type="list" operator="equal" allowBlank="1" showInputMessage="1" showErrorMessage="1" error="Invalid Entry" sqref="AN13" xr:uid="{A982E2D3-D519-4A5F-A412-2E6410D74ED1}">
      <formula1>$A$651:$A$652</formula1>
    </dataValidation>
    <dataValidation type="decimal" allowBlank="1" showInputMessage="1" showErrorMessage="1" error="Value must be between 0 and 14." sqref="AN161" xr:uid="{B65D091B-262E-4499-A0BE-F056CBD9FF53}">
      <formula1>0</formula1>
      <formula2>14</formula2>
    </dataValidation>
    <dataValidation type="date" operator="greaterThan" allowBlank="1" showInputMessage="1" showErrorMessage="1" error="Invalid Date/Time value." sqref="AN165" xr:uid="{738977F7-1103-4B63-9487-65A56CBC2ADB}">
      <formula1>36526</formula1>
    </dataValidation>
    <dataValidation type="list" operator="equal" allowBlank="1" showInputMessage="1" showErrorMessage="1" error="Invalid Entry" sqref="AO13" xr:uid="{483A777C-9B3D-4333-B127-BA8FBE279F51}">
      <formula1>$A$651:$A$652</formula1>
    </dataValidation>
    <dataValidation type="decimal" allowBlank="1" showInputMessage="1" showErrorMessage="1" error="Value must be between 0 and 20." sqref="AO163" xr:uid="{173B1CE3-EFD3-4C3E-B57B-8B7F8720FACD}">
      <formula1>0</formula1>
      <formula2>20</formula2>
    </dataValidation>
    <dataValidation type="decimal" allowBlank="1" showInputMessage="1" showErrorMessage="1" error="Value must be between 10 and 35." sqref="AO164" xr:uid="{1595CD61-A3B1-47FF-AD78-75379688A254}">
      <formula1>10</formula1>
      <formula2>35</formula2>
    </dataValidation>
    <dataValidation type="date" operator="greaterThan" allowBlank="1" showInputMessage="1" showErrorMessage="1" error="Invalid Date/Time value." sqref="AO165" xr:uid="{166049CC-85ED-49D8-B195-141EFFD9D99C}">
      <formula1>36526</formula1>
    </dataValidation>
    <dataValidation type="list" operator="equal" allowBlank="1" showInputMessage="1" showErrorMessage="1" error="Invalid Entry" sqref="AP13" xr:uid="{0CF5EBD8-2F81-4749-8022-20333ED74E77}">
      <formula1>$A$661:$A$663</formula1>
    </dataValidation>
    <dataValidation type="list" operator="equal" allowBlank="1" showInputMessage="1" showErrorMessage="1" error="Invalid Entry" sqref="AP16" xr:uid="{B4D07035-DD05-474B-8126-BF096F156A29}">
      <formula1>$U$652:$U$1121</formula1>
    </dataValidation>
    <dataValidation type="date" operator="greaterThan" allowBlank="1" showInputMessage="1" showErrorMessage="1" error="Invalid Date/Time value." sqref="AP84" xr:uid="{0FCD0766-997D-4801-9CC6-777DBE846845}">
      <formula1>36526</formula1>
    </dataValidation>
    <dataValidation type="list" operator="equal" allowBlank="1" showInputMessage="1" showErrorMessage="1" error="Invalid Entry" sqref="AP85" xr:uid="{4D002F83-2D6B-4D44-A399-9695A640A13D}">
      <formula1>$I$652:$I$654</formula1>
    </dataValidation>
    <dataValidation type="decimal" allowBlank="1" showInputMessage="1" showErrorMessage="1" error="Value must be between 0 and 10000." sqref="AP91" xr:uid="{D4EBEE4C-02C3-4859-9122-D45B1DC021BF}">
      <formula1>0</formula1>
      <formula2>10000</formula2>
    </dataValidation>
    <dataValidation type="decimal" allowBlank="1" showInputMessage="1" showErrorMessage="1" error="Value must be between 0 and 10000." sqref="AP92" xr:uid="{123E8216-C463-44D6-B6FB-D5CF726EF20D}">
      <formula1>0</formula1>
      <formula2>10000</formula2>
    </dataValidation>
    <dataValidation type="decimal" allowBlank="1" showInputMessage="1" showErrorMessage="1" error="Value must be between 0 and 100." sqref="AP93" xr:uid="{DB06684B-9949-4C02-BB2E-2567A8E18E86}">
      <formula1>0</formula1>
      <formula2>100</formula2>
    </dataValidation>
    <dataValidation type="list" operator="equal" allowBlank="1" showInputMessage="1" showErrorMessage="1" error="Invalid Entry" sqref="AP94" xr:uid="{A775FDB5-61E7-4606-917A-9B9AE46415C9}">
      <formula1>"NV,L,M,H"</formula1>
    </dataValidation>
    <dataValidation type="list" operator="equal" allowBlank="1" showInputMessage="1" showErrorMessage="1" error="Invalid Entry" sqref="AP95" xr:uid="{FC4F630E-3AE3-4875-A700-556F8660F534}">
      <formula1>$O$652:$O$653</formula1>
    </dataValidation>
    <dataValidation type="decimal" allowBlank="1" showInputMessage="1" showErrorMessage="1" error="Value must be between 0 and 14." sqref="AP134" xr:uid="{333A6C59-33E6-476F-BE5E-163D0CA8A3A1}">
      <formula1>0</formula1>
      <formula2>14</formula2>
    </dataValidation>
    <dataValidation type="decimal" allowBlank="1" showInputMessage="1" showErrorMessage="1" error="Value must be between 0 and 20." sqref="AP135" xr:uid="{7944936C-6FBD-4A2B-8A09-F8507E74BA55}">
      <formula1>0</formula1>
      <formula2>20</formula2>
    </dataValidation>
    <dataValidation type="decimal" allowBlank="1" showInputMessage="1" showErrorMessage="1" error="Value must be between -5 and 45." sqref="AP137" xr:uid="{AB79EDC3-F1CE-427F-B421-AD19C0BEB33E}">
      <formula1>-5</formula1>
      <formula2>45</formula2>
    </dataValidation>
    <dataValidation type="decimal" allowBlank="1" showInputMessage="1" showErrorMessage="1" error="Value must be between 0 and 70." sqref="AP138" xr:uid="{4D88CD25-96A1-4272-8B0F-B1CABD54D437}">
      <formula1>0</formula1>
      <formula2>70</formula2>
    </dataValidation>
    <dataValidation type="decimal" allowBlank="1" showInputMessage="1" showErrorMessage="1" error="Value must be between -999 and 999." sqref="AP139" xr:uid="{0686D8B4-7F0F-4837-8D99-EF0FE1354D66}">
      <formula1>-999</formula1>
      <formula2>999</formula2>
    </dataValidation>
    <dataValidation type="list" operator="equal" allowBlank="1" showInputMessage="1" showErrorMessage="1" error="Invalid Entry" sqref="AP184" xr:uid="{4FFD8EB7-27A6-4B92-BCA0-C96EACEAF0E1}">
      <formula1>$B$673:$B$674</formula1>
    </dataValidation>
    <dataValidation type="list" operator="equal" allowBlank="1" showInputMessage="1" showErrorMessage="1" error="Invalid Entry" sqref="AP185" xr:uid="{7AF729DB-5E9C-4460-8BFA-4A97A8F83B8C}">
      <formula1>$B$673:$B$674</formula1>
    </dataValidation>
    <dataValidation type="list" operator="equal" allowBlank="1" showInputMessage="1" showErrorMessage="1" error="Invalid Entry" sqref="AP186" xr:uid="{FF12153C-5256-40F3-AF7A-AEBA67E4311E}">
      <formula1>$B$673:$B$674</formula1>
    </dataValidation>
    <dataValidation type="list" operator="equal" allowBlank="1" showInputMessage="1" showErrorMessage="1" error="Invalid Entry" sqref="AP187" xr:uid="{DF7CD8B0-B2D5-498A-A52B-EF0C56001C89}">
      <formula1>$B$673:$B$674</formula1>
    </dataValidation>
    <dataValidation type="list" operator="equal" allowBlank="1" showInputMessage="1" showErrorMessage="1" error="Invalid Entry" sqref="AP188" xr:uid="{79B76525-C8CF-4323-9C96-B3E05B87614C}">
      <formula1>$B$673:$B$674</formula1>
    </dataValidation>
    <dataValidation type="list" operator="equal" allowBlank="1" showInputMessage="1" showErrorMessage="1" error="Invalid Entry" sqref="AP189" xr:uid="{C64DF6D8-3BA2-46FD-9197-D577BE9F4473}">
      <formula1>$B$673:$B$674</formula1>
    </dataValidation>
    <dataValidation type="list" operator="equal" allowBlank="1" showInputMessage="1" showErrorMessage="1" error="Invalid Entry" sqref="AP190" xr:uid="{F3BD51A2-61D7-40D8-A8AD-3C1FE14A296D}">
      <formula1>$B$673:$B$674</formula1>
    </dataValidation>
    <dataValidation type="list" operator="equal" allowBlank="1" showInputMessage="1" showErrorMessage="1" error="Invalid Entry" sqref="AP191" xr:uid="{CE945D97-F49D-414F-A6E6-622BBA67F3D7}">
      <formula1>$B$673:$B$674</formula1>
    </dataValidation>
    <dataValidation type="list" operator="equal" allowBlank="1" showInputMessage="1" showErrorMessage="1" error="Invalid Entry" sqref="AP192" xr:uid="{357598B6-7EF7-49A8-B64D-34464A0DFB62}">
      <formula1>$B$673:$B$674</formula1>
    </dataValidation>
    <dataValidation type="list" operator="equal" allowBlank="1" showInputMessage="1" showErrorMessage="1" error="Invalid Entry" sqref="AP193" xr:uid="{5BF8E31E-C896-44D9-A9A7-2C34B4277E9A}">
      <formula1>$B$673:$B$674</formula1>
    </dataValidation>
    <dataValidation type="list" operator="equal" allowBlank="1" showInputMessage="1" showErrorMessage="1" error="Invalid Entry" sqref="AP194" xr:uid="{A4257502-9758-4D5A-9C9D-38EFA2931B81}">
      <formula1>$B$673:$B$674</formula1>
    </dataValidation>
    <dataValidation type="list" operator="equal" allowBlank="1" showInputMessage="1" showErrorMessage="1" error="Invalid Entry" sqref="AP195" xr:uid="{FE17E030-C8A3-4A60-B275-C92B05A547AC}">
      <formula1>$B$673:$B$674</formula1>
    </dataValidation>
    <dataValidation type="list" operator="equal" allowBlank="1" showInputMessage="1" showErrorMessage="1" error="Invalid Entry" sqref="AP196" xr:uid="{BC58D9EC-8F51-4D97-9EA1-88B7110CAB5C}">
      <formula1>$B$673:$B$674</formula1>
    </dataValidation>
    <dataValidation type="list" operator="equal" allowBlank="1" showInputMessage="1" showErrorMessage="1" error="Invalid Entry" sqref="AP197" xr:uid="{48AB9197-321C-4116-9A43-200684A75C8F}">
      <formula1>$B$673:$B$674</formula1>
    </dataValidation>
    <dataValidation type="list" operator="equal" allowBlank="1" showInputMessage="1" showErrorMessage="1" error="Invalid Entry" sqref="AP198" xr:uid="{9A75B255-1E06-440D-AD0C-F99F16964308}">
      <formula1>$B$673:$B$674</formula1>
    </dataValidation>
    <dataValidation type="list" operator="equal" allowBlank="1" showInputMessage="1" showErrorMessage="1" error="Invalid Entry" sqref="AP199" xr:uid="{9ED82022-F9AF-4D3C-A52A-207017239CD7}">
      <formula1>$B$673:$B$674</formula1>
    </dataValidation>
    <dataValidation type="list" operator="equal" allowBlank="1" showInputMessage="1" showErrorMessage="1" error="Invalid Entry" sqref="AP200" xr:uid="{DDED0F0A-9669-4A44-9454-5E3F80EB5B25}">
      <formula1>$B$673:$B$674</formula1>
    </dataValidation>
    <dataValidation type="list" operator="equal" allowBlank="1" showInputMessage="1" showErrorMessage="1" error="Invalid Entry" sqref="AP201" xr:uid="{866C5A66-A9DA-485D-AAD5-2202AA3343E5}">
      <formula1>$B$673:$B$674</formula1>
    </dataValidation>
    <dataValidation type="list" operator="equal" allowBlank="1" showInputMessage="1" showErrorMessage="1" error="Invalid Entry" sqref="AP202" xr:uid="{8D42F972-4F17-4C6E-A69E-368F412BE7F7}">
      <formula1>$B$673:$B$674</formula1>
    </dataValidation>
    <dataValidation type="list" operator="equal" allowBlank="1" showInputMessage="1" showErrorMessage="1" error="Invalid Entry" sqref="AP203" xr:uid="{796CAA65-BAC3-4901-8D8B-162A83AA72C5}">
      <formula1>$B$673:$B$674</formula1>
    </dataValidation>
    <dataValidation type="list" operator="equal" allowBlank="1" showInputMessage="1" showErrorMessage="1" error="Invalid Entry" sqref="AQ13" xr:uid="{D4D8F683-063C-4C47-84ED-E4099620F892}">
      <formula1>$A$661:$A$663</formula1>
    </dataValidation>
    <dataValidation type="list" operator="equal" allowBlank="1" showInputMessage="1" showErrorMessage="1" error="Invalid Entry" sqref="AQ16" xr:uid="{C3782EA0-8BD8-4219-9F82-4DD755CBCB33}">
      <formula1>$U$652:$U$1121</formula1>
    </dataValidation>
    <dataValidation type="date" operator="greaterThan" allowBlank="1" showInputMessage="1" showErrorMessage="1" error="Invalid Date/Time value." sqref="AQ84" xr:uid="{91E3D9C7-DBA9-41B9-92B6-8987CB66F5B5}">
      <formula1>36526</formula1>
    </dataValidation>
    <dataValidation type="list" operator="equal" allowBlank="1" showInputMessage="1" showErrorMessage="1" error="Invalid Entry" sqref="AQ85" xr:uid="{F83A3192-B7E7-4BD7-BEC7-4C7849034D64}">
      <formula1>$I$652:$I$654</formula1>
    </dataValidation>
    <dataValidation type="decimal" allowBlank="1" showInputMessage="1" showErrorMessage="1" error="Value must be between 0 and 10000." sqref="AQ91" xr:uid="{79B7696B-DDFB-4BC2-8F0D-45F702D1CC42}">
      <formula1>0</formula1>
      <formula2>10000</formula2>
    </dataValidation>
    <dataValidation type="decimal" allowBlank="1" showInputMessage="1" showErrorMessage="1" error="Value must be between 0 and 10000." sqref="AQ92" xr:uid="{9828EFE1-E61B-4975-AEA0-7F0B52B9970F}">
      <formula1>0</formula1>
      <formula2>10000</formula2>
    </dataValidation>
    <dataValidation type="decimal" allowBlank="1" showInputMessage="1" showErrorMessage="1" error="Value must be between 0 and 100." sqref="AQ93" xr:uid="{714B4C06-A420-4D0A-BAB7-57529789E324}">
      <formula1>0</formula1>
      <formula2>100</formula2>
    </dataValidation>
    <dataValidation type="list" operator="equal" allowBlank="1" showInputMessage="1" showErrorMessage="1" error="Invalid Entry" sqref="AQ94" xr:uid="{55B17951-0598-49FC-B909-1E44DEAA210A}">
      <formula1>"NV,L,M,H"</formula1>
    </dataValidation>
    <dataValidation type="list" operator="equal" allowBlank="1" showInputMessage="1" showErrorMessage="1" error="Invalid Entry" sqref="AQ95" xr:uid="{74C857ED-11B0-4FF5-9B55-7B91D67C8161}">
      <formula1>$O$652:$O$653</formula1>
    </dataValidation>
    <dataValidation type="decimal" allowBlank="1" showInputMessage="1" showErrorMessage="1" error="Value must be between 0 and 14." sqref="AQ134" xr:uid="{32B4BC55-12C1-4414-B114-83156F8C8594}">
      <formula1>0</formula1>
      <formula2>14</formula2>
    </dataValidation>
    <dataValidation type="decimal" allowBlank="1" showInputMessage="1" showErrorMessage="1" error="Value must be between 0 and 20." sqref="AQ135" xr:uid="{9EAD30B0-387F-4467-A093-A108563523C8}">
      <formula1>0</formula1>
      <formula2>20</formula2>
    </dataValidation>
    <dataValidation type="decimal" allowBlank="1" showInputMessage="1" showErrorMessage="1" error="Value must be between -5 and 45." sqref="AQ137" xr:uid="{0CCA7913-A90D-450B-AA32-3D1969D77BCA}">
      <formula1>-5</formula1>
      <formula2>45</formula2>
    </dataValidation>
    <dataValidation type="decimal" allowBlank="1" showInputMessage="1" showErrorMessage="1" error="Value must be between 0 and 70." sqref="AQ138" xr:uid="{EE04CD94-4CE5-45A7-B80B-76B5B5A1D322}">
      <formula1>0</formula1>
      <formula2>70</formula2>
    </dataValidation>
    <dataValidation type="decimal" allowBlank="1" showInputMessage="1" showErrorMessage="1" error="Value must be between -999 and 999." sqref="AQ139" xr:uid="{ADE4A10F-D2E4-4E12-B7FC-737C1A9E7BBD}">
      <formula1>-999</formula1>
      <formula2>999</formula2>
    </dataValidation>
    <dataValidation type="list" operator="equal" allowBlank="1" showInputMessage="1" showErrorMessage="1" error="Invalid Entry" sqref="AQ184" xr:uid="{071688E2-47B2-47E4-B7EA-BF3E4C019E55}">
      <formula1>$B$673:$B$674</formula1>
    </dataValidation>
    <dataValidation type="list" operator="equal" allowBlank="1" showInputMessage="1" showErrorMessage="1" error="Invalid Entry" sqref="AQ185" xr:uid="{0FAB3A94-BCE2-4898-B2C2-34793D83EB3D}">
      <formula1>$B$673:$B$674</formula1>
    </dataValidation>
    <dataValidation type="list" operator="equal" allowBlank="1" showInputMessage="1" showErrorMessage="1" error="Invalid Entry" sqref="AQ186" xr:uid="{8E699473-AA21-4EC5-BD12-AE053751C857}">
      <formula1>$B$673:$B$674</formula1>
    </dataValidation>
    <dataValidation type="list" operator="equal" allowBlank="1" showInputMessage="1" showErrorMessage="1" error="Invalid Entry" sqref="AQ187" xr:uid="{ADFE040E-A0DD-40C5-A9AF-FFC1B083AC89}">
      <formula1>$B$673:$B$674</formula1>
    </dataValidation>
    <dataValidation type="list" operator="equal" allowBlank="1" showInputMessage="1" showErrorMessage="1" error="Invalid Entry" sqref="AQ188" xr:uid="{6E935C62-E9D7-4A07-9220-CF3FB027EB55}">
      <formula1>$B$673:$B$674</formula1>
    </dataValidation>
    <dataValidation type="list" operator="equal" allowBlank="1" showInputMessage="1" showErrorMessage="1" error="Invalid Entry" sqref="AQ189" xr:uid="{FC02594A-55B6-4CC3-A8B1-4AAB2E99EF0F}">
      <formula1>$B$673:$B$674</formula1>
    </dataValidation>
    <dataValidation type="list" operator="equal" allowBlank="1" showInputMessage="1" showErrorMessage="1" error="Invalid Entry" sqref="AQ190" xr:uid="{80B51057-8358-4FAA-A8E4-77BC2CCCF32F}">
      <formula1>$B$673:$B$674</formula1>
    </dataValidation>
    <dataValidation type="list" operator="equal" allowBlank="1" showInputMessage="1" showErrorMessage="1" error="Invalid Entry" sqref="AQ191" xr:uid="{79F9D6C5-17CA-4313-A95A-4665CD6F9B04}">
      <formula1>$B$673:$B$674</formula1>
    </dataValidation>
    <dataValidation type="list" operator="equal" allowBlank="1" showInputMessage="1" showErrorMessage="1" error="Invalid Entry" sqref="AQ192" xr:uid="{981B11BC-186B-4B9A-A840-3E18E175E6EE}">
      <formula1>$B$673:$B$674</formula1>
    </dataValidation>
    <dataValidation type="list" operator="equal" allowBlank="1" showInputMessage="1" showErrorMessage="1" error="Invalid Entry" sqref="AQ193" xr:uid="{5D59DF1B-A054-44F9-8D89-1E1A8EB8AC30}">
      <formula1>$B$673:$B$674</formula1>
    </dataValidation>
    <dataValidation type="list" operator="equal" allowBlank="1" showInputMessage="1" showErrorMessage="1" error="Invalid Entry" sqref="AQ194" xr:uid="{70B26636-D471-45F3-8C16-88DAD8F5481F}">
      <formula1>$B$673:$B$674</formula1>
    </dataValidation>
    <dataValidation type="list" operator="equal" allowBlank="1" showInputMessage="1" showErrorMessage="1" error="Invalid Entry" sqref="AQ195" xr:uid="{894997C4-C7BC-4BB1-BA32-3E0202888DBF}">
      <formula1>$B$673:$B$674</formula1>
    </dataValidation>
    <dataValidation type="list" operator="equal" allowBlank="1" showInputMessage="1" showErrorMessage="1" error="Invalid Entry" sqref="AQ196" xr:uid="{88492BE0-0863-44C0-94F2-239A6C7B7CD8}">
      <formula1>$B$673:$B$674</formula1>
    </dataValidation>
    <dataValidation type="list" operator="equal" allowBlank="1" showInputMessage="1" showErrorMessage="1" error="Invalid Entry" sqref="AQ197" xr:uid="{95ADBA73-A2B6-4E59-B074-5CBF9BE3062C}">
      <formula1>$B$673:$B$674</formula1>
    </dataValidation>
    <dataValidation type="list" operator="equal" allowBlank="1" showInputMessage="1" showErrorMessage="1" error="Invalid Entry" sqref="AQ198" xr:uid="{00D46CA9-5CF0-4D4B-9A1F-07CEC1722B44}">
      <formula1>$B$673:$B$674</formula1>
    </dataValidation>
    <dataValidation type="list" operator="equal" allowBlank="1" showInputMessage="1" showErrorMessage="1" error="Invalid Entry" sqref="AQ199" xr:uid="{C0623550-8F57-4D80-A1C1-FB4F7704E378}">
      <formula1>$B$673:$B$674</formula1>
    </dataValidation>
    <dataValidation type="list" operator="equal" allowBlank="1" showInputMessage="1" showErrorMessage="1" error="Invalid Entry" sqref="AQ200" xr:uid="{75A88BA5-C8A4-4628-B79F-DB6AA6BB2845}">
      <formula1>$B$673:$B$674</formula1>
    </dataValidation>
    <dataValidation type="list" operator="equal" allowBlank="1" showInputMessage="1" showErrorMessage="1" error="Invalid Entry" sqref="AQ201" xr:uid="{63B53D5C-F120-4139-A084-BBC42025B0BA}">
      <formula1>$B$673:$B$674</formula1>
    </dataValidation>
    <dataValidation type="list" operator="equal" allowBlank="1" showInputMessage="1" showErrorMessage="1" error="Invalid Entry" sqref="AQ202" xr:uid="{37EBCFC7-6F98-4A79-BD00-90991593E726}">
      <formula1>$B$673:$B$674</formula1>
    </dataValidation>
    <dataValidation type="list" operator="equal" allowBlank="1" showInputMessage="1" showErrorMessage="1" error="Invalid Entry" sqref="AQ203" xr:uid="{920F19F5-D4B2-4447-91A1-38B04C5093F7}">
      <formula1>$B$673:$B$674</formula1>
    </dataValidation>
    <dataValidation type="list" operator="equal" allowBlank="1" showInputMessage="1" showErrorMessage="1" error="Invalid Entry" sqref="AR13" xr:uid="{138A71A7-6137-4C6A-9625-B7A915335E9B}">
      <formula1>$A$661:$A$663</formula1>
    </dataValidation>
    <dataValidation type="list" operator="equal" allowBlank="1" showInputMessage="1" showErrorMessage="1" error="Invalid Entry" sqref="AR16" xr:uid="{9BA6BB4A-233C-4D50-BCDB-21A38C084CFA}">
      <formula1>$U$652:$U$1121</formula1>
    </dataValidation>
    <dataValidation type="date" operator="greaterThan" allowBlank="1" showInputMessage="1" showErrorMessage="1" error="Invalid Date/Time value." sqref="AR84" xr:uid="{E0E2006A-D93B-461E-ABA4-ADE54364B0D7}">
      <formula1>36526</formula1>
    </dataValidation>
    <dataValidation type="list" operator="equal" allowBlank="1" showInputMessage="1" showErrorMessage="1" error="Invalid Entry" sqref="AR85" xr:uid="{87ED7A58-F861-45D6-B757-424745EAFCA5}">
      <formula1>$I$652:$I$654</formula1>
    </dataValidation>
    <dataValidation type="decimal" allowBlank="1" showInputMessage="1" showErrorMessage="1" error="Value must be between 0 and 10000." sqref="AR91" xr:uid="{53D59F59-52EA-4F83-9BD8-406CB76380D9}">
      <formula1>0</formula1>
      <formula2>10000</formula2>
    </dataValidation>
    <dataValidation type="decimal" allowBlank="1" showInputMessage="1" showErrorMessage="1" error="Value must be between 0 and 10000." sqref="AR92" xr:uid="{267687E8-9E0B-4B52-9E11-0E157BAEF2EF}">
      <formula1>0</formula1>
      <formula2>10000</formula2>
    </dataValidation>
    <dataValidation type="decimal" allowBlank="1" showInputMessage="1" showErrorMessage="1" error="Value must be between 0 and 100." sqref="AR93" xr:uid="{847CC1FB-CCDD-4606-A912-7D5475D98F82}">
      <formula1>0</formula1>
      <formula2>100</formula2>
    </dataValidation>
    <dataValidation type="list" operator="equal" allowBlank="1" showInputMessage="1" showErrorMessage="1" error="Invalid Entry" sqref="AR94" xr:uid="{3B99FF41-2D83-4301-89F9-45E3D97E80A7}">
      <formula1>"NV,L,M,H"</formula1>
    </dataValidation>
    <dataValidation type="list" operator="equal" allowBlank="1" showInputMessage="1" showErrorMessage="1" error="Invalid Entry" sqref="AR95" xr:uid="{7A1B6241-5011-4C6F-832A-F5053CECAB68}">
      <formula1>$O$652:$O$653</formula1>
    </dataValidation>
    <dataValidation type="decimal" allowBlank="1" showInputMessage="1" showErrorMessage="1" error="Value must be between 0 and 14." sqref="AR134" xr:uid="{023F5422-5CF0-4549-B1CD-1B8EE8808A88}">
      <formula1>0</formula1>
      <formula2>14</formula2>
    </dataValidation>
    <dataValidation type="decimal" allowBlank="1" showInputMessage="1" showErrorMessage="1" error="Value must be between 0 and 20." sqref="AR135" xr:uid="{303A2C6E-CA2B-4167-ADCF-FBE73EF9AB9C}">
      <formula1>0</formula1>
      <formula2>20</formula2>
    </dataValidation>
    <dataValidation type="decimal" allowBlank="1" showInputMessage="1" showErrorMessage="1" error="Value must be between -5 and 45." sqref="AR137" xr:uid="{1F4B1E1B-BAC6-4AA7-A901-C8A878CF96F2}">
      <formula1>-5</formula1>
      <formula2>45</formula2>
    </dataValidation>
    <dataValidation type="decimal" allowBlank="1" showInputMessage="1" showErrorMessage="1" error="Value must be between 0 and 70." sqref="AR138" xr:uid="{5C3F3F54-F621-4867-A29F-0BB72B2EE4D1}">
      <formula1>0</formula1>
      <formula2>70</formula2>
    </dataValidation>
    <dataValidation type="decimal" allowBlank="1" showInputMessage="1" showErrorMessage="1" error="Value must be between -999 and 999." sqref="AR139" xr:uid="{4D071EF4-054E-4F82-9355-6828C48D1064}">
      <formula1>-999</formula1>
      <formula2>999</formula2>
    </dataValidation>
    <dataValidation type="list" operator="equal" allowBlank="1" showInputMessage="1" showErrorMessage="1" error="Invalid Entry" sqref="AR184" xr:uid="{36323278-2CF8-4D36-99A2-3E3FBDADC79B}">
      <formula1>$B$673:$B$674</formula1>
    </dataValidation>
    <dataValidation type="list" operator="equal" allowBlank="1" showInputMessage="1" showErrorMessage="1" error="Invalid Entry" sqref="AR185" xr:uid="{EB8873D6-9848-43CB-AF3E-76279C977D7C}">
      <formula1>$B$673:$B$674</formula1>
    </dataValidation>
    <dataValidation type="list" operator="equal" allowBlank="1" showInputMessage="1" showErrorMessage="1" error="Invalid Entry" sqref="AR186" xr:uid="{855888BB-FA54-40FF-938D-6DF84D8C825F}">
      <formula1>$B$673:$B$674</formula1>
    </dataValidation>
    <dataValidation type="list" operator="equal" allowBlank="1" showInputMessage="1" showErrorMessage="1" error="Invalid Entry" sqref="AR187" xr:uid="{7862590C-EB7C-4C52-A603-6F5608230984}">
      <formula1>$B$673:$B$674</formula1>
    </dataValidation>
    <dataValidation type="list" operator="equal" allowBlank="1" showInputMessage="1" showErrorMessage="1" error="Invalid Entry" sqref="AR188" xr:uid="{4E704176-08C5-41E1-9165-C125D671ECED}">
      <formula1>$B$673:$B$674</formula1>
    </dataValidation>
    <dataValidation type="list" operator="equal" allowBlank="1" showInputMessage="1" showErrorMessage="1" error="Invalid Entry" sqref="AR189" xr:uid="{598AF593-BED3-4ADA-9135-623B4CECDAEF}">
      <formula1>$B$673:$B$674</formula1>
    </dataValidation>
    <dataValidation type="list" operator="equal" allowBlank="1" showInputMessage="1" showErrorMessage="1" error="Invalid Entry" sqref="AR190" xr:uid="{8FF00786-E965-459A-8672-FB7773CB49B1}">
      <formula1>$B$673:$B$674</formula1>
    </dataValidation>
    <dataValidation type="list" operator="equal" allowBlank="1" showInputMessage="1" showErrorMessage="1" error="Invalid Entry" sqref="AR191" xr:uid="{679E71F6-0BAA-4055-AE77-81BA7DFD3EB6}">
      <formula1>$B$673:$B$674</formula1>
    </dataValidation>
    <dataValidation type="list" operator="equal" allowBlank="1" showInputMessage="1" showErrorMessage="1" error="Invalid Entry" sqref="AR192" xr:uid="{E771E636-E289-44B1-B820-54D9BDDA7179}">
      <formula1>$B$673:$B$674</formula1>
    </dataValidation>
    <dataValidation type="list" operator="equal" allowBlank="1" showInputMessage="1" showErrorMessage="1" error="Invalid Entry" sqref="AR193" xr:uid="{8392C309-9C07-4949-A5C7-B38DB298F001}">
      <formula1>$B$673:$B$674</formula1>
    </dataValidation>
    <dataValidation type="list" operator="equal" allowBlank="1" showInputMessage="1" showErrorMessage="1" error="Invalid Entry" sqref="AR194" xr:uid="{99AA8E23-9718-472D-9BC6-A29C571A9711}">
      <formula1>$B$673:$B$674</formula1>
    </dataValidation>
    <dataValidation type="list" operator="equal" allowBlank="1" showInputMessage="1" showErrorMessage="1" error="Invalid Entry" sqref="AR195" xr:uid="{4A8EEE9B-E942-499B-A116-DA440ABEAE18}">
      <formula1>$B$673:$B$674</formula1>
    </dataValidation>
    <dataValidation type="list" operator="equal" allowBlank="1" showInputMessage="1" showErrorMessage="1" error="Invalid Entry" sqref="AR196" xr:uid="{69C682AA-2210-4A0C-B808-366CF7173F7C}">
      <formula1>$B$673:$B$674</formula1>
    </dataValidation>
    <dataValidation type="list" operator="equal" allowBlank="1" showInputMessage="1" showErrorMessage="1" error="Invalid Entry" sqref="AR197" xr:uid="{58B8C479-911F-4A15-BC59-E3B659812AB4}">
      <formula1>$B$673:$B$674</formula1>
    </dataValidation>
    <dataValidation type="list" operator="equal" allowBlank="1" showInputMessage="1" showErrorMessage="1" error="Invalid Entry" sqref="AR198" xr:uid="{3B8AB0F7-145D-4191-A6AF-8F64F22C0AE9}">
      <formula1>$B$673:$B$674</formula1>
    </dataValidation>
    <dataValidation type="list" operator="equal" allowBlank="1" showInputMessage="1" showErrorMessage="1" error="Invalid Entry" sqref="AR199" xr:uid="{13E15E90-BC73-4EB4-9ED0-374B765BE913}">
      <formula1>$B$673:$B$674</formula1>
    </dataValidation>
    <dataValidation type="list" operator="equal" allowBlank="1" showInputMessage="1" showErrorMessage="1" error="Invalid Entry" sqref="AR200" xr:uid="{954823DF-1F3A-478A-85A4-35D037BF0511}">
      <formula1>$B$673:$B$674</formula1>
    </dataValidation>
    <dataValidation type="list" operator="equal" allowBlank="1" showInputMessage="1" showErrorMessage="1" error="Invalid Entry" sqref="AR201" xr:uid="{CFA5AF05-8D20-4025-AB12-8058EE8D94D8}">
      <formula1>$B$673:$B$674</formula1>
    </dataValidation>
    <dataValidation type="list" operator="equal" allowBlank="1" showInputMessage="1" showErrorMessage="1" error="Invalid Entry" sqref="AR202" xr:uid="{670F7F32-1506-4139-9566-9E2E641F0BE4}">
      <formula1>$B$673:$B$674</formula1>
    </dataValidation>
    <dataValidation type="list" operator="equal" allowBlank="1" showInputMessage="1" showErrorMessage="1" error="Invalid Entry" sqref="AR203" xr:uid="{201541BF-490A-4F74-AEE8-ABFE87866B52}">
      <formula1>$B$673:$B$674</formula1>
    </dataValidation>
    <dataValidation type="list" operator="equal" allowBlank="1" showInputMessage="1" showErrorMessage="1" error="Invalid Entry" sqref="AS13" xr:uid="{84A0840C-FE33-4A46-8BEC-2B215CA86FD6}">
      <formula1>$A$661:$A$663</formula1>
    </dataValidation>
    <dataValidation type="list" operator="equal" allowBlank="1" showInputMessage="1" showErrorMessage="1" error="Invalid Entry" sqref="AS16" xr:uid="{07D0D048-287A-4616-9190-77C183B465C7}">
      <formula1>$U$652:$U$1121</formula1>
    </dataValidation>
    <dataValidation type="date" operator="greaterThan" allowBlank="1" showInputMessage="1" showErrorMessage="1" error="Invalid Date/Time value." sqref="AS84" xr:uid="{769A56F8-56C0-44FE-8BAC-FE3CA4E78A1B}">
      <formula1>36526</formula1>
    </dataValidation>
    <dataValidation type="list" operator="equal" allowBlank="1" showInputMessage="1" showErrorMessage="1" error="Invalid Entry" sqref="AS85" xr:uid="{46525B0F-8C17-4A0A-8159-7DFF957360A3}">
      <formula1>$I$652:$I$654</formula1>
    </dataValidation>
    <dataValidation type="decimal" allowBlank="1" showInputMessage="1" showErrorMessage="1" error="Value must be between 0 and 10000." sqref="AS91" xr:uid="{B0213FC6-5588-4287-A349-9F20E35EAF6F}">
      <formula1>0</formula1>
      <formula2>10000</formula2>
    </dataValidation>
    <dataValidation type="decimal" allowBlank="1" showInputMessage="1" showErrorMessage="1" error="Value must be between 0 and 10000." sqref="AS92" xr:uid="{0D37E068-1AEB-4703-84F8-991CB8E7EFC3}">
      <formula1>0</formula1>
      <formula2>10000</formula2>
    </dataValidation>
    <dataValidation type="decimal" allowBlank="1" showInputMessage="1" showErrorMessage="1" error="Value must be between 0 and 100." sqref="AS93" xr:uid="{E064322E-7CCB-4471-9E83-D4177139477B}">
      <formula1>0</formula1>
      <formula2>100</formula2>
    </dataValidation>
    <dataValidation type="list" operator="equal" allowBlank="1" showInputMessage="1" showErrorMessage="1" error="Invalid Entry" sqref="AS94" xr:uid="{10BDC742-BC3E-472C-9A53-99B2C5F524E6}">
      <formula1>"NV,L,M,H"</formula1>
    </dataValidation>
    <dataValidation type="list" operator="equal" allowBlank="1" showInputMessage="1" showErrorMessage="1" error="Invalid Entry" sqref="AS95" xr:uid="{289AD7DE-A721-4386-BEA9-12BEB52AF3F0}">
      <formula1>$O$652:$O$653</formula1>
    </dataValidation>
    <dataValidation type="decimal" allowBlank="1" showInputMessage="1" showErrorMessage="1" error="Value must be between 0 and 14." sqref="AS134" xr:uid="{61026598-43D7-400D-82C4-BE9158C88CCE}">
      <formula1>0</formula1>
      <formula2>14</formula2>
    </dataValidation>
    <dataValidation type="decimal" allowBlank="1" showInputMessage="1" showErrorMessage="1" error="Value must be between 0 and 20." sqref="AS135" xr:uid="{BAD8D011-861B-4BC2-8BBA-D20B328F4DBF}">
      <formula1>0</formula1>
      <formula2>20</formula2>
    </dataValidation>
    <dataValidation type="decimal" allowBlank="1" showInputMessage="1" showErrorMessage="1" error="Value must be between -5 and 45." sqref="AS137" xr:uid="{73BBE31D-DB21-47CE-813E-92408CFB966A}">
      <formula1>-5</formula1>
      <formula2>45</formula2>
    </dataValidation>
    <dataValidation type="decimal" allowBlank="1" showInputMessage="1" showErrorMessage="1" error="Value must be between 0 and 70." sqref="AS138" xr:uid="{40F9E648-B68F-4130-AE50-126F70B6269F}">
      <formula1>0</formula1>
      <formula2>70</formula2>
    </dataValidation>
    <dataValidation type="decimal" allowBlank="1" showInputMessage="1" showErrorMessage="1" error="Value must be between -999 and 999." sqref="AS139" xr:uid="{5B53AC02-3BE2-4B34-B1E2-2FE1CFE7C4ED}">
      <formula1>-999</formula1>
      <formula2>999</formula2>
    </dataValidation>
    <dataValidation type="list" operator="equal" allowBlank="1" showInputMessage="1" showErrorMessage="1" error="Invalid Entry" sqref="AS184" xr:uid="{DDF0195B-AF85-4FC7-916D-73A900F798D8}">
      <formula1>$B$673:$B$674</formula1>
    </dataValidation>
    <dataValidation type="list" operator="equal" allowBlank="1" showInputMessage="1" showErrorMessage="1" error="Invalid Entry" sqref="AS185" xr:uid="{EC385546-946D-46C8-9D41-6846172BC35B}">
      <formula1>$B$673:$B$674</formula1>
    </dataValidation>
    <dataValidation type="list" operator="equal" allowBlank="1" showInputMessage="1" showErrorMessage="1" error="Invalid Entry" sqref="AS186" xr:uid="{0ADE4F8D-4880-4C33-9D58-23B9CDB8550D}">
      <formula1>$B$673:$B$674</formula1>
    </dataValidation>
    <dataValidation type="list" operator="equal" allowBlank="1" showInputMessage="1" showErrorMessage="1" error="Invalid Entry" sqref="AS187" xr:uid="{C8943609-ABE7-4595-8CBF-311AF2D9387F}">
      <formula1>$B$673:$B$674</formula1>
    </dataValidation>
    <dataValidation type="list" operator="equal" allowBlank="1" showInputMessage="1" showErrorMessage="1" error="Invalid Entry" sqref="AS188" xr:uid="{DC0AFA11-4D2F-4E8D-A250-EB0C8D8F28B6}">
      <formula1>$B$673:$B$674</formula1>
    </dataValidation>
    <dataValidation type="list" operator="equal" allowBlank="1" showInputMessage="1" showErrorMessage="1" error="Invalid Entry" sqref="AS189" xr:uid="{01AD7713-D0B5-4424-9CA5-6170BBCECD08}">
      <formula1>$B$673:$B$674</formula1>
    </dataValidation>
    <dataValidation type="list" operator="equal" allowBlank="1" showInputMessage="1" showErrorMessage="1" error="Invalid Entry" sqref="AS190" xr:uid="{B1D3E65B-39EF-42B5-A3F7-AF26F9764B82}">
      <formula1>$B$673:$B$674</formula1>
    </dataValidation>
    <dataValidation type="list" operator="equal" allowBlank="1" showInputMessage="1" showErrorMessage="1" error="Invalid Entry" sqref="AS191" xr:uid="{932B7A48-47EA-49FF-B450-66EBB386ED9E}">
      <formula1>$B$673:$B$674</formula1>
    </dataValidation>
    <dataValidation type="list" operator="equal" allowBlank="1" showInputMessage="1" showErrorMessage="1" error="Invalid Entry" sqref="AS192" xr:uid="{6DBA3831-6ED3-49FA-AF2A-A9E27968E672}">
      <formula1>$B$673:$B$674</formula1>
    </dataValidation>
    <dataValidation type="list" operator="equal" allowBlank="1" showInputMessage="1" showErrorMessage="1" error="Invalid Entry" sqref="AS193" xr:uid="{886BBF6C-308E-4815-B1E1-7235C2E4D03E}">
      <formula1>$B$673:$B$674</formula1>
    </dataValidation>
    <dataValidation type="list" operator="equal" allowBlank="1" showInputMessage="1" showErrorMessage="1" error="Invalid Entry" sqref="AS194" xr:uid="{D73D62B8-E57A-481B-AA2D-2DA369AF1DF8}">
      <formula1>$B$673:$B$674</formula1>
    </dataValidation>
    <dataValidation type="list" operator="equal" allowBlank="1" showInputMessage="1" showErrorMessage="1" error="Invalid Entry" sqref="AS195" xr:uid="{9BF360AD-D51E-4FD3-8F86-16483229CDAD}">
      <formula1>$B$673:$B$674</formula1>
    </dataValidation>
    <dataValidation type="list" operator="equal" allowBlank="1" showInputMessage="1" showErrorMessage="1" error="Invalid Entry" sqref="AS196" xr:uid="{CDBE1D1D-0405-4B31-97BA-CC8933FFDC8C}">
      <formula1>$B$673:$B$674</formula1>
    </dataValidation>
    <dataValidation type="list" operator="equal" allowBlank="1" showInputMessage="1" showErrorMessage="1" error="Invalid Entry" sqref="AS197" xr:uid="{07D2DAB4-C0E2-4A61-A0B3-C6F8EC46CBCB}">
      <formula1>$B$673:$B$674</formula1>
    </dataValidation>
    <dataValidation type="list" operator="equal" allowBlank="1" showInputMessage="1" showErrorMessage="1" error="Invalid Entry" sqref="AS198" xr:uid="{1426CA60-23EE-4A88-AB1A-A4ABEFE792A4}">
      <formula1>$B$673:$B$674</formula1>
    </dataValidation>
    <dataValidation type="list" operator="equal" allowBlank="1" showInputMessage="1" showErrorMessage="1" error="Invalid Entry" sqref="AS199" xr:uid="{92001FD0-04D1-441C-B4C9-522E7BDBF654}">
      <formula1>$B$673:$B$674</formula1>
    </dataValidation>
    <dataValidation type="list" operator="equal" allowBlank="1" showInputMessage="1" showErrorMessage="1" error="Invalid Entry" sqref="AS200" xr:uid="{7346C3D7-58E1-41AB-BE7C-3167FD0E1F83}">
      <formula1>$B$673:$B$674</formula1>
    </dataValidation>
    <dataValidation type="list" operator="equal" allowBlank="1" showInputMessage="1" showErrorMessage="1" error="Invalid Entry" sqref="AS201" xr:uid="{A8CD9CBD-CA31-4DCB-8DDC-408BE445A460}">
      <formula1>$B$673:$B$674</formula1>
    </dataValidation>
    <dataValidation type="list" operator="equal" allowBlank="1" showInputMessage="1" showErrorMessage="1" error="Invalid Entry" sqref="AS202" xr:uid="{EE205942-7973-44CD-90B8-D7FF9DEDBC63}">
      <formula1>$B$673:$B$674</formula1>
    </dataValidation>
    <dataValidation type="list" operator="equal" allowBlank="1" showInputMessage="1" showErrorMessage="1" error="Invalid Entry" sqref="AS203" xr:uid="{AED57F38-6871-43CB-8ACD-5EEF99D3AC02}">
      <formula1>$B$673:$B$674</formula1>
    </dataValidation>
    <dataValidation type="list" operator="equal" allowBlank="1" showInputMessage="1" showErrorMessage="1" error="Invalid Entry" sqref="AT13" xr:uid="{3923B1E3-34FE-437A-8124-47846F333A66}">
      <formula1>$A$661:$A$663</formula1>
    </dataValidation>
    <dataValidation type="list" operator="equal" allowBlank="1" showInputMessage="1" showErrorMessage="1" error="Invalid Entry" sqref="AT16" xr:uid="{CCB9B366-5463-4768-BE65-6B41A3E1DBCD}">
      <formula1>$U$652:$U$1121</formula1>
    </dataValidation>
    <dataValidation type="date" operator="greaterThan" allowBlank="1" showInputMessage="1" showErrorMessage="1" error="Invalid Date/Time value." sqref="AT84" xr:uid="{9B3BDE23-6611-4475-ADFC-53BA9E97A625}">
      <formula1>36526</formula1>
    </dataValidation>
    <dataValidation type="list" operator="equal" allowBlank="1" showInputMessage="1" showErrorMessage="1" error="Invalid Entry" sqref="AT85" xr:uid="{5C92B6A6-9E99-4503-A221-EF098F67C509}">
      <formula1>$I$652:$I$654</formula1>
    </dataValidation>
    <dataValidation type="decimal" allowBlank="1" showInputMessage="1" showErrorMessage="1" error="Value must be between 0 and 10000." sqref="AT91" xr:uid="{08FB5237-BB03-44C6-8E74-367093C833E8}">
      <formula1>0</formula1>
      <formula2>10000</formula2>
    </dataValidation>
    <dataValidation type="decimal" allowBlank="1" showInputMessage="1" showErrorMessage="1" error="Value must be between 0 and 10000." sqref="AT92" xr:uid="{451C1F33-F9C9-4FB3-965B-207DC8EFF6D2}">
      <formula1>0</formula1>
      <formula2>10000</formula2>
    </dataValidation>
    <dataValidation type="decimal" allowBlank="1" showInputMessage="1" showErrorMessage="1" error="Value must be between 0 and 100." sqref="AT93" xr:uid="{AB192370-6F98-4AE1-A824-8B436B49B2B4}">
      <formula1>0</formula1>
      <formula2>100</formula2>
    </dataValidation>
    <dataValidation type="list" operator="equal" allowBlank="1" showInputMessage="1" showErrorMessage="1" error="Invalid Entry" sqref="AT94" xr:uid="{D6882D6F-719A-42ED-AA50-5EB9DFBF1A17}">
      <formula1>"NV,L,M,H"</formula1>
    </dataValidation>
    <dataValidation type="list" operator="equal" allowBlank="1" showInputMessage="1" showErrorMessage="1" error="Invalid Entry" sqref="AT95" xr:uid="{C012A220-E915-44FB-AC15-EE1DDB2D14B8}">
      <formula1>$O$652:$O$653</formula1>
    </dataValidation>
    <dataValidation type="decimal" allowBlank="1" showInputMessage="1" showErrorMessage="1" error="Value must be between 0 and 14." sqref="AT134" xr:uid="{0EE5064F-9A19-4CC1-AE98-E8BA80B84B94}">
      <formula1>0</formula1>
      <formula2>14</formula2>
    </dataValidation>
    <dataValidation type="decimal" allowBlank="1" showInputMessage="1" showErrorMessage="1" error="Value must be between 0 and 20." sqref="AT135" xr:uid="{5992F4A1-FE89-45DF-AC12-ADF0E538D3E9}">
      <formula1>0</formula1>
      <formula2>20</formula2>
    </dataValidation>
    <dataValidation type="decimal" allowBlank="1" showInputMessage="1" showErrorMessage="1" error="Value must be between -5 and 45." sqref="AT137" xr:uid="{BD491469-054E-430B-9807-552D2AF4B23B}">
      <formula1>-5</formula1>
      <formula2>45</formula2>
    </dataValidation>
    <dataValidation type="decimal" allowBlank="1" showInputMessage="1" showErrorMessage="1" error="Value must be between 0 and 70." sqref="AT138" xr:uid="{81EA7A5B-0CC8-4E57-8263-CF8121D71FB5}">
      <formula1>0</formula1>
      <formula2>70</formula2>
    </dataValidation>
    <dataValidation type="decimal" allowBlank="1" showInputMessage="1" showErrorMessage="1" error="Value must be between -999 and 999." sqref="AT139" xr:uid="{68014FBC-FA57-46FE-93A7-3EB6ED1EADC6}">
      <formula1>-999</formula1>
      <formula2>999</formula2>
    </dataValidation>
    <dataValidation type="list" operator="equal" allowBlank="1" showInputMessage="1" showErrorMessage="1" error="Invalid Entry" sqref="AT184" xr:uid="{FFF0AB2E-A1A8-4C6B-906D-78B3AF5BFD49}">
      <formula1>$B$673:$B$674</formula1>
    </dataValidation>
    <dataValidation type="list" operator="equal" allowBlank="1" showInputMessage="1" showErrorMessage="1" error="Invalid Entry" sqref="AT185" xr:uid="{A12ADE8C-9B82-49AD-A368-89A3679965FC}">
      <formula1>$B$673:$B$674</formula1>
    </dataValidation>
    <dataValidation type="list" operator="equal" allowBlank="1" showInputMessage="1" showErrorMessage="1" error="Invalid Entry" sqref="AT186" xr:uid="{A664516A-0337-42B1-B578-CE971F0AD0DE}">
      <formula1>$B$673:$B$674</formula1>
    </dataValidation>
    <dataValidation type="list" operator="equal" allowBlank="1" showInputMessage="1" showErrorMessage="1" error="Invalid Entry" sqref="AT187" xr:uid="{E793EA81-EF33-48CC-9879-DBDEEB4068DA}">
      <formula1>$B$673:$B$674</formula1>
    </dataValidation>
    <dataValidation type="list" operator="equal" allowBlank="1" showInputMessage="1" showErrorMessage="1" error="Invalid Entry" sqref="AT188" xr:uid="{2061CD14-5366-4B93-A4A1-C11BAF74224B}">
      <formula1>$B$673:$B$674</formula1>
    </dataValidation>
    <dataValidation type="list" operator="equal" allowBlank="1" showInputMessage="1" showErrorMessage="1" error="Invalid Entry" sqref="AT189" xr:uid="{948B35F9-B0C7-4165-8C83-9FFA361FE0DA}">
      <formula1>$B$673:$B$674</formula1>
    </dataValidation>
    <dataValidation type="list" operator="equal" allowBlank="1" showInputMessage="1" showErrorMessage="1" error="Invalid Entry" sqref="AT190" xr:uid="{7E6D457D-5350-4CD6-9CD6-577991AEE6B6}">
      <formula1>$B$673:$B$674</formula1>
    </dataValidation>
    <dataValidation type="list" operator="equal" allowBlank="1" showInputMessage="1" showErrorMessage="1" error="Invalid Entry" sqref="AT191" xr:uid="{8D4CBFCF-643A-46CF-8861-2AA3375C314C}">
      <formula1>$B$673:$B$674</formula1>
    </dataValidation>
    <dataValidation type="list" operator="equal" allowBlank="1" showInputMessage="1" showErrorMessage="1" error="Invalid Entry" sqref="AT192" xr:uid="{DC679DD5-9B08-4E16-B1B7-9F1BA7CDCEC9}">
      <formula1>$B$673:$B$674</formula1>
    </dataValidation>
    <dataValidation type="list" operator="equal" allowBlank="1" showInputMessage="1" showErrorMessage="1" error="Invalid Entry" sqref="AT193" xr:uid="{91D3DD9F-7DE1-4FCB-9C78-4BE979D18A1F}">
      <formula1>$B$673:$B$674</formula1>
    </dataValidation>
    <dataValidation type="list" operator="equal" allowBlank="1" showInputMessage="1" showErrorMessage="1" error="Invalid Entry" sqref="AT194" xr:uid="{75A21DAA-18B8-4F08-A96F-E7CA8E2E348A}">
      <formula1>$B$673:$B$674</formula1>
    </dataValidation>
    <dataValidation type="list" operator="equal" allowBlank="1" showInputMessage="1" showErrorMessage="1" error="Invalid Entry" sqref="AT195" xr:uid="{8783EA14-857D-496F-BC51-8A1ACB33326C}">
      <formula1>$B$673:$B$674</formula1>
    </dataValidation>
    <dataValidation type="list" operator="equal" allowBlank="1" showInputMessage="1" showErrorMessage="1" error="Invalid Entry" sqref="AT196" xr:uid="{40B73B73-9358-4185-BE83-B4FCB2AE60B4}">
      <formula1>$B$673:$B$674</formula1>
    </dataValidation>
    <dataValidation type="list" operator="equal" allowBlank="1" showInputMessage="1" showErrorMessage="1" error="Invalid Entry" sqref="AT197" xr:uid="{5711F144-FC81-454D-B8FB-DF01BB0AC1EB}">
      <formula1>$B$673:$B$674</formula1>
    </dataValidation>
    <dataValidation type="list" operator="equal" allowBlank="1" showInputMessage="1" showErrorMessage="1" error="Invalid Entry" sqref="AT198" xr:uid="{2C0C2C08-A16C-4709-8D10-3E2AAEED84B0}">
      <formula1>$B$673:$B$674</formula1>
    </dataValidation>
    <dataValidation type="list" operator="equal" allowBlank="1" showInputMessage="1" showErrorMessage="1" error="Invalid Entry" sqref="AT199" xr:uid="{52BBF96C-D94D-448A-9CEA-B78207AF2C19}">
      <formula1>$B$673:$B$674</formula1>
    </dataValidation>
    <dataValidation type="list" operator="equal" allowBlank="1" showInputMessage="1" showErrorMessage="1" error="Invalid Entry" sqref="AT200" xr:uid="{755C7EE8-766F-43AF-8635-E13B40029D19}">
      <formula1>$B$673:$B$674</formula1>
    </dataValidation>
    <dataValidation type="list" operator="equal" allowBlank="1" showInputMessage="1" showErrorMessage="1" error="Invalid Entry" sqref="AT201" xr:uid="{93A69FE0-4F7E-48BF-8A90-86BC2D2ED1EE}">
      <formula1>$B$673:$B$674</formula1>
    </dataValidation>
    <dataValidation type="list" operator="equal" allowBlank="1" showInputMessage="1" showErrorMessage="1" error="Invalid Entry" sqref="AT202" xr:uid="{A3764ADF-E2B3-4F8E-B8AD-2E006EF8F45D}">
      <formula1>$B$673:$B$674</formula1>
    </dataValidation>
    <dataValidation type="list" operator="equal" allowBlank="1" showInputMessage="1" showErrorMessage="1" error="Invalid Entry" sqref="AT203" xr:uid="{808A3658-F09B-4D6B-A09B-F51675809093}">
      <formula1>$B$673:$B$674</formula1>
    </dataValidation>
    <dataValidation type="list" operator="equal" allowBlank="1" showInputMessage="1" showErrorMessage="1" error="Invalid Entry" sqref="AU13" xr:uid="{D5FD013E-8EAF-41D2-BF9A-F160A2920715}">
      <formula1>$A$661:$A$663</formula1>
    </dataValidation>
    <dataValidation type="list" operator="equal" allowBlank="1" showInputMessage="1" showErrorMessage="1" error="Invalid Entry" sqref="AU16" xr:uid="{D448D8C2-BD91-41D2-BD4E-8B912C1A04B0}">
      <formula1>$U$652:$U$1121</formula1>
    </dataValidation>
    <dataValidation type="date" operator="greaterThan" allowBlank="1" showInputMessage="1" showErrorMessage="1" error="Invalid Date/Time value." sqref="AU84" xr:uid="{03F9F018-504F-4A9E-867A-B46A0D7EF78A}">
      <formula1>36526</formula1>
    </dataValidation>
    <dataValidation type="list" operator="equal" allowBlank="1" showInputMessage="1" showErrorMessage="1" error="Invalid Entry" sqref="AU85" xr:uid="{7D775D36-CE10-4C40-B153-C1AF86A9C367}">
      <formula1>$I$652:$I$654</formula1>
    </dataValidation>
    <dataValidation type="decimal" allowBlank="1" showInputMessage="1" showErrorMessage="1" error="Value must be between 0 and 10000." sqref="AU91" xr:uid="{95EB9B19-4223-4DCA-8137-45CCBA5F4A6F}">
      <formula1>0</formula1>
      <formula2>10000</formula2>
    </dataValidation>
    <dataValidation type="decimal" allowBlank="1" showInputMessage="1" showErrorMessage="1" error="Value must be between 0 and 10000." sqref="AU92" xr:uid="{613B4051-3E25-45C6-8B48-FDFFD44EECD8}">
      <formula1>0</formula1>
      <formula2>10000</formula2>
    </dataValidation>
    <dataValidation type="decimal" allowBlank="1" showInputMessage="1" showErrorMessage="1" error="Value must be between 0 and 100." sqref="AU93" xr:uid="{F9823E92-0202-4D60-A73B-18990C6461E0}">
      <formula1>0</formula1>
      <formula2>100</formula2>
    </dataValidation>
    <dataValidation type="list" operator="equal" allowBlank="1" showInputMessage="1" showErrorMessage="1" error="Invalid Entry" sqref="AU94" xr:uid="{516B532B-408E-4419-A5F8-F86F11F32904}">
      <formula1>"NV,L,M,H"</formula1>
    </dataValidation>
    <dataValidation type="list" operator="equal" allowBlank="1" showInputMessage="1" showErrorMessage="1" error="Invalid Entry" sqref="AU95" xr:uid="{BDA46D9F-0F8C-4469-9633-7573287FDA30}">
      <formula1>$O$652:$O$653</formula1>
    </dataValidation>
    <dataValidation type="decimal" allowBlank="1" showInputMessage="1" showErrorMessage="1" error="Value must be between 0 and 14." sqref="AU134" xr:uid="{0AC0B023-A84A-40B0-BDC3-B441EEEA0755}">
      <formula1>0</formula1>
      <formula2>14</formula2>
    </dataValidation>
    <dataValidation type="decimal" allowBlank="1" showInputMessage="1" showErrorMessage="1" error="Value must be between 0 and 20." sqref="AU135" xr:uid="{E24A7693-3619-4578-8B44-5EE10CFA6E19}">
      <formula1>0</formula1>
      <formula2>20</formula2>
    </dataValidation>
    <dataValidation type="decimal" allowBlank="1" showInputMessage="1" showErrorMessage="1" error="Value must be between -5 and 45." sqref="AU137" xr:uid="{3BEBCBF3-F33A-4631-824D-D6F430F81450}">
      <formula1>-5</formula1>
      <formula2>45</formula2>
    </dataValidation>
    <dataValidation type="decimal" allowBlank="1" showInputMessage="1" showErrorMessage="1" error="Value must be between 0 and 70." sqref="AU138" xr:uid="{BA3997F0-F3C2-4281-A129-DB4A30EAD1D4}">
      <formula1>0</formula1>
      <formula2>70</formula2>
    </dataValidation>
    <dataValidation type="decimal" allowBlank="1" showInputMessage="1" showErrorMessage="1" error="Value must be between -999 and 999." sqref="AU139" xr:uid="{337EFAC2-3D52-45DD-8F60-14285FF57233}">
      <formula1>-999</formula1>
      <formula2>999</formula2>
    </dataValidation>
    <dataValidation type="list" operator="equal" allowBlank="1" showInputMessage="1" showErrorMessage="1" error="Invalid Entry" sqref="AU184" xr:uid="{43E503C1-AEA2-49AA-9AED-FB7955489C05}">
      <formula1>$B$673:$B$674</formula1>
    </dataValidation>
    <dataValidation type="list" operator="equal" allowBlank="1" showInputMessage="1" showErrorMessage="1" error="Invalid Entry" sqref="AU185" xr:uid="{F97BB0C8-33A8-48D2-A4DD-53B614367D84}">
      <formula1>$B$673:$B$674</formula1>
    </dataValidation>
    <dataValidation type="list" operator="equal" allowBlank="1" showInputMessage="1" showErrorMessage="1" error="Invalid Entry" sqref="AU186" xr:uid="{E9889B50-4963-41DC-BFCB-39C96982EAD3}">
      <formula1>$B$673:$B$674</formula1>
    </dataValidation>
    <dataValidation type="list" operator="equal" allowBlank="1" showInputMessage="1" showErrorMessage="1" error="Invalid Entry" sqref="AU187" xr:uid="{25390DF5-F001-45E1-8A49-0036CF41535D}">
      <formula1>$B$673:$B$674</formula1>
    </dataValidation>
    <dataValidation type="list" operator="equal" allowBlank="1" showInputMessage="1" showErrorMessage="1" error="Invalid Entry" sqref="AU188" xr:uid="{42543CA8-7205-4E44-91A7-25B3FD4A67D2}">
      <formula1>$B$673:$B$674</formula1>
    </dataValidation>
    <dataValidation type="list" operator="equal" allowBlank="1" showInputMessage="1" showErrorMessage="1" error="Invalid Entry" sqref="AU189" xr:uid="{3BCED1C4-9D74-44C5-B354-91FAD560DFE9}">
      <formula1>$B$673:$B$674</formula1>
    </dataValidation>
    <dataValidation type="list" operator="equal" allowBlank="1" showInputMessage="1" showErrorMessage="1" error="Invalid Entry" sqref="AU190" xr:uid="{343FF7F2-376C-43AB-97CB-F624D1D81EB3}">
      <formula1>$B$673:$B$674</formula1>
    </dataValidation>
    <dataValidation type="list" operator="equal" allowBlank="1" showInputMessage="1" showErrorMessage="1" error="Invalid Entry" sqref="AU191" xr:uid="{13344A72-1FB4-459E-9947-0AF23C01ADD1}">
      <formula1>$B$673:$B$674</formula1>
    </dataValidation>
    <dataValidation type="list" operator="equal" allowBlank="1" showInputMessage="1" showErrorMessage="1" error="Invalid Entry" sqref="AU192" xr:uid="{B83747CE-707B-407C-B973-0C0A17D252A1}">
      <formula1>$B$673:$B$674</formula1>
    </dataValidation>
    <dataValidation type="list" operator="equal" allowBlank="1" showInputMessage="1" showErrorMessage="1" error="Invalid Entry" sqref="AU193" xr:uid="{6C0A58F9-CAE8-4118-93FA-7CAFF26D49FC}">
      <formula1>$B$673:$B$674</formula1>
    </dataValidation>
    <dataValidation type="list" operator="equal" allowBlank="1" showInputMessage="1" showErrorMessage="1" error="Invalid Entry" sqref="AU194" xr:uid="{CB32C9F9-331B-430E-9BDE-56D2A0BF4C40}">
      <formula1>$B$673:$B$674</formula1>
    </dataValidation>
    <dataValidation type="list" operator="equal" allowBlank="1" showInputMessage="1" showErrorMessage="1" error="Invalid Entry" sqref="AU195" xr:uid="{BF05B21C-4C20-45A9-A734-80955C4B77CC}">
      <formula1>$B$673:$B$674</formula1>
    </dataValidation>
    <dataValidation type="list" operator="equal" allowBlank="1" showInputMessage="1" showErrorMessage="1" error="Invalid Entry" sqref="AU196" xr:uid="{A15CA935-C804-4E6B-A5A3-6066D0B954E3}">
      <formula1>$B$673:$B$674</formula1>
    </dataValidation>
    <dataValidation type="list" operator="equal" allowBlank="1" showInputMessage="1" showErrorMessage="1" error="Invalid Entry" sqref="AU197" xr:uid="{4ABCDA56-8760-40C7-9F1C-431633C0DB9A}">
      <formula1>$B$673:$B$674</formula1>
    </dataValidation>
    <dataValidation type="list" operator="equal" allowBlank="1" showInputMessage="1" showErrorMessage="1" error="Invalid Entry" sqref="AU198" xr:uid="{4264B174-53EA-479F-A875-742A39AB83D4}">
      <formula1>$B$673:$B$674</formula1>
    </dataValidation>
    <dataValidation type="list" operator="equal" allowBlank="1" showInputMessage="1" showErrorMessage="1" error="Invalid Entry" sqref="AU199" xr:uid="{4E89E78D-71C4-4166-A19D-5122B2E25B67}">
      <formula1>$B$673:$B$674</formula1>
    </dataValidation>
    <dataValidation type="list" operator="equal" allowBlank="1" showInputMessage="1" showErrorMessage="1" error="Invalid Entry" sqref="AU200" xr:uid="{75C90558-9E3D-4E12-8DDE-0EAF262A26FE}">
      <formula1>$B$673:$B$674</formula1>
    </dataValidation>
    <dataValidation type="list" operator="equal" allowBlank="1" showInputMessage="1" showErrorMessage="1" error="Invalid Entry" sqref="AU201" xr:uid="{910CBC77-8338-4EA3-9FCE-D8B91E065A95}">
      <formula1>$B$673:$B$674</formula1>
    </dataValidation>
    <dataValidation type="list" operator="equal" allowBlank="1" showInputMessage="1" showErrorMessage="1" error="Invalid Entry" sqref="AU202" xr:uid="{7015DE21-3DE6-4E96-8F77-DCF73A8F4A31}">
      <formula1>$B$673:$B$674</formula1>
    </dataValidation>
    <dataValidation type="list" operator="equal" allowBlank="1" showInputMessage="1" showErrorMessage="1" error="Invalid Entry" sqref="AU203" xr:uid="{97AB7FBD-B847-4C84-9E6C-DDA1A4FC822D}">
      <formula1>$B$673:$B$674</formula1>
    </dataValidation>
    <dataValidation type="list" operator="equal" allowBlank="1" showInputMessage="1" showErrorMessage="1" error="Invalid Entry" sqref="AV13" xr:uid="{B1E60096-4D3B-4D0B-AF19-02FD5508EF9E}">
      <formula1>$A$661:$A$663</formula1>
    </dataValidation>
    <dataValidation type="list" operator="equal" allowBlank="1" showInputMessage="1" showErrorMessage="1" error="Invalid Entry" sqref="AV16" xr:uid="{98848939-CC4E-4221-941E-31A035D8DE15}">
      <formula1>$U$652:$U$1121</formula1>
    </dataValidation>
    <dataValidation type="date" operator="greaterThan" allowBlank="1" showInputMessage="1" showErrorMessage="1" error="Invalid Date/Time value." sqref="AV84" xr:uid="{BBAAD4B1-14C3-49E4-A97B-DDB4C46408F6}">
      <formula1>36526</formula1>
    </dataValidation>
    <dataValidation type="list" operator="equal" allowBlank="1" showInputMessage="1" showErrorMessage="1" error="Invalid Entry" sqref="AV85" xr:uid="{06EEA32C-5CB9-4B04-8C16-FBAA4488FC81}">
      <formula1>$I$652:$I$654</formula1>
    </dataValidation>
    <dataValidation type="decimal" allowBlank="1" showInputMessage="1" showErrorMessage="1" error="Value must be between 0 and 10000." sqref="AV91" xr:uid="{963C4A09-4D16-42A1-990A-9F25FD438E95}">
      <formula1>0</formula1>
      <formula2>10000</formula2>
    </dataValidation>
    <dataValidation type="decimal" allowBlank="1" showInputMessage="1" showErrorMessage="1" error="Value must be between 0 and 10000." sqref="AV92" xr:uid="{941ACD55-62D4-4339-931A-052FC0B7C90D}">
      <formula1>0</formula1>
      <formula2>10000</formula2>
    </dataValidation>
    <dataValidation type="decimal" allowBlank="1" showInputMessage="1" showErrorMessage="1" error="Value must be between 0 and 100." sqref="AV93" xr:uid="{D39E426C-7F6C-4B11-A5CD-BE424F2CC203}">
      <formula1>0</formula1>
      <formula2>100</formula2>
    </dataValidation>
    <dataValidation type="list" operator="equal" allowBlank="1" showInputMessage="1" showErrorMessage="1" error="Invalid Entry" sqref="AV94" xr:uid="{588A7A60-D321-46F0-AC50-EFCFF7090D1B}">
      <formula1>"NV,L,M,H"</formula1>
    </dataValidation>
    <dataValidation type="list" operator="equal" allowBlank="1" showInputMessage="1" showErrorMessage="1" error="Invalid Entry" sqref="AV95" xr:uid="{3D912691-4567-4B0C-A13D-0B25E69B2724}">
      <formula1>$O$652:$O$653</formula1>
    </dataValidation>
    <dataValidation type="decimal" allowBlank="1" showInputMessage="1" showErrorMessage="1" error="Value must be between 0 and 14." sqref="AV134" xr:uid="{68EE7997-96B3-4794-80E2-F134C945A157}">
      <formula1>0</formula1>
      <formula2>14</formula2>
    </dataValidation>
    <dataValidation type="decimal" allowBlank="1" showInputMessage="1" showErrorMessage="1" error="Value must be between 0 and 20." sqref="AV135" xr:uid="{AC25FA49-4D77-44F3-9285-979D8825FF81}">
      <formula1>0</formula1>
      <formula2>20</formula2>
    </dataValidation>
    <dataValidation type="decimal" allowBlank="1" showInputMessage="1" showErrorMessage="1" error="Value must be between -5 and 45." sqref="AV137" xr:uid="{B72A33E5-5389-4B51-B55C-6B7367FC6726}">
      <formula1>-5</formula1>
      <formula2>45</formula2>
    </dataValidation>
    <dataValidation type="decimal" allowBlank="1" showInputMessage="1" showErrorMessage="1" error="Value must be between 0 and 70." sqref="AV138" xr:uid="{6AC5FE4E-FBAC-48D6-8369-1B96DED2521A}">
      <formula1>0</formula1>
      <formula2>70</formula2>
    </dataValidation>
    <dataValidation type="decimal" allowBlank="1" showInputMessage="1" showErrorMessage="1" error="Value must be between -999 and 999." sqref="AV139" xr:uid="{58AC6CC4-FE34-4989-897C-BC1838E2C673}">
      <formula1>-999</formula1>
      <formula2>999</formula2>
    </dataValidation>
    <dataValidation type="list" operator="equal" allowBlank="1" showInputMessage="1" showErrorMessage="1" error="Invalid Entry" sqref="AV184" xr:uid="{53D4F1AB-CB42-4AED-B24F-50C8457AD2A1}">
      <formula1>$B$673:$B$674</formula1>
    </dataValidation>
    <dataValidation type="list" operator="equal" allowBlank="1" showInputMessage="1" showErrorMessage="1" error="Invalid Entry" sqref="AV185" xr:uid="{D8927175-6551-46DA-8E81-F0D3C1C51B9B}">
      <formula1>$B$673:$B$674</formula1>
    </dataValidation>
    <dataValidation type="list" operator="equal" allowBlank="1" showInputMessage="1" showErrorMessage="1" error="Invalid Entry" sqref="AV186" xr:uid="{07AB3180-7CAB-4A8B-A39A-4410C7BC12C6}">
      <formula1>$B$673:$B$674</formula1>
    </dataValidation>
    <dataValidation type="list" operator="equal" allowBlank="1" showInputMessage="1" showErrorMessage="1" error="Invalid Entry" sqref="AV187" xr:uid="{FA179405-B24C-41F5-9B69-894BF6B1E2E7}">
      <formula1>$B$673:$B$674</formula1>
    </dataValidation>
    <dataValidation type="list" operator="equal" allowBlank="1" showInputMessage="1" showErrorMessage="1" error="Invalid Entry" sqref="AV188" xr:uid="{C3C201C1-9628-4C05-924E-DD8A510894D3}">
      <formula1>$B$673:$B$674</formula1>
    </dataValidation>
    <dataValidation type="list" operator="equal" allowBlank="1" showInputMessage="1" showErrorMessage="1" error="Invalid Entry" sqref="AV189" xr:uid="{ADF4A2AC-BD5C-46BC-AAC2-E7D3E208AF16}">
      <formula1>$B$673:$B$674</formula1>
    </dataValidation>
    <dataValidation type="list" operator="equal" allowBlank="1" showInputMessage="1" showErrorMessage="1" error="Invalid Entry" sqref="AV190" xr:uid="{4D4DD194-04EB-4EB0-B281-3B33FA3A8799}">
      <formula1>$B$673:$B$674</formula1>
    </dataValidation>
    <dataValidation type="list" operator="equal" allowBlank="1" showInputMessage="1" showErrorMessage="1" error="Invalid Entry" sqref="AV191" xr:uid="{63DEBF7D-FC24-4BE0-A297-5873A114B27B}">
      <formula1>$B$673:$B$674</formula1>
    </dataValidation>
    <dataValidation type="list" operator="equal" allowBlank="1" showInputMessage="1" showErrorMessage="1" error="Invalid Entry" sqref="AV192" xr:uid="{21778AEC-DB43-460B-99D2-0E61164158AB}">
      <formula1>$B$673:$B$674</formula1>
    </dataValidation>
    <dataValidation type="list" operator="equal" allowBlank="1" showInputMessage="1" showErrorMessage="1" error="Invalid Entry" sqref="AV193" xr:uid="{640BF25C-68EA-4093-AF06-CC5769D45192}">
      <formula1>$B$673:$B$674</formula1>
    </dataValidation>
    <dataValidation type="list" operator="equal" allowBlank="1" showInputMessage="1" showErrorMessage="1" error="Invalid Entry" sqref="AV194" xr:uid="{B2E24D27-CB64-478C-9AF1-04D781BC0210}">
      <formula1>$B$673:$B$674</formula1>
    </dataValidation>
    <dataValidation type="list" operator="equal" allowBlank="1" showInputMessage="1" showErrorMessage="1" error="Invalid Entry" sqref="AV195" xr:uid="{78DE8435-3CE3-418E-8DE2-F35890E1D8A3}">
      <formula1>$B$673:$B$674</formula1>
    </dataValidation>
    <dataValidation type="list" operator="equal" allowBlank="1" showInputMessage="1" showErrorMessage="1" error="Invalid Entry" sqref="AV196" xr:uid="{2F378184-F913-4FD3-9C1D-4598FCE95DC9}">
      <formula1>$B$673:$B$674</formula1>
    </dataValidation>
    <dataValidation type="list" operator="equal" allowBlank="1" showInputMessage="1" showErrorMessage="1" error="Invalid Entry" sqref="AV197" xr:uid="{B4F9FB2F-C2D6-412D-A223-78093212DF8C}">
      <formula1>$B$673:$B$674</formula1>
    </dataValidation>
    <dataValidation type="list" operator="equal" allowBlank="1" showInputMessage="1" showErrorMessage="1" error="Invalid Entry" sqref="AV198" xr:uid="{90E4F9E4-D613-4C9F-813F-1501B8A3E82F}">
      <formula1>$B$673:$B$674</formula1>
    </dataValidation>
    <dataValidation type="list" operator="equal" allowBlank="1" showInputMessage="1" showErrorMessage="1" error="Invalid Entry" sqref="AV199" xr:uid="{99A43A17-D692-429D-AFC7-59EA973A21A9}">
      <formula1>$B$673:$B$674</formula1>
    </dataValidation>
    <dataValidation type="list" operator="equal" allowBlank="1" showInputMessage="1" showErrorMessage="1" error="Invalid Entry" sqref="AV200" xr:uid="{E823E307-4DF3-403B-AE3C-E6E2DFD9339B}">
      <formula1>$B$673:$B$674</formula1>
    </dataValidation>
    <dataValidation type="list" operator="equal" allowBlank="1" showInputMessage="1" showErrorMessage="1" error="Invalid Entry" sqref="AV201" xr:uid="{27F57230-B059-4E2E-8A08-A03D0A5027E1}">
      <formula1>$B$673:$B$674</formula1>
    </dataValidation>
    <dataValidation type="list" operator="equal" allowBlank="1" showInputMessage="1" showErrorMessage="1" error="Invalid Entry" sqref="AV202" xr:uid="{08B97311-E053-4F0F-A7CB-693A1D87AE25}">
      <formula1>$B$673:$B$674</formula1>
    </dataValidation>
    <dataValidation type="list" operator="equal" allowBlank="1" showInputMessage="1" showErrorMessage="1" error="Invalid Entry" sqref="AV203" xr:uid="{E7F5E69B-8875-439C-9FBF-FBD133402AF4}">
      <formula1>$B$673:$B$674</formula1>
    </dataValidation>
    <dataValidation type="list" operator="equal" allowBlank="1" showInputMessage="1" showErrorMessage="1" error="Invalid Entry" sqref="AW13" xr:uid="{81C2893E-36D7-429C-8AE9-CFDD683D0C72}">
      <formula1>$A$651:$A$652</formula1>
    </dataValidation>
    <dataValidation type="decimal" allowBlank="1" showInputMessage="1" showErrorMessage="1" error="Value must be between 0 and 100000." sqref="AW162" xr:uid="{8BFCF147-4495-478B-BEE9-B55843A75011}">
      <formula1>0</formula1>
      <formula2>100000</formula2>
    </dataValidation>
    <dataValidation type="date" operator="greaterThan" allowBlank="1" showInputMessage="1" showErrorMessage="1" error="Invalid Date/Time value." sqref="AW165" xr:uid="{DC49CAFF-BC83-44AE-9A7F-CB2268B66636}">
      <formula1>36526</formula1>
    </dataValidation>
    <dataValidation type="list" operator="equal" allowBlank="1" showInputMessage="1" showErrorMessage="1" error="Invalid Entry" sqref="AX13" xr:uid="{2DE7952D-EE7B-4815-8533-0908E4D950FD}">
      <formula1>$A$651:$A$652</formula1>
    </dataValidation>
    <dataValidation type="decimal" allowBlank="1" showInputMessage="1" showErrorMessage="1" error="Value must be between 0 and 100000." sqref="AX162" xr:uid="{74886DE8-58D9-4C6D-9189-FD31D262115C}">
      <formula1>0</formula1>
      <formula2>100000</formula2>
    </dataValidation>
    <dataValidation type="date" operator="greaterThan" allowBlank="1" showInputMessage="1" showErrorMessage="1" error="Invalid Date/Time value." sqref="AX165" xr:uid="{3328C0AB-1A66-49BA-B372-B5D0A629F750}">
      <formula1>36526</formula1>
    </dataValidation>
    <dataValidation type="list" operator="equal" allowBlank="1" showInputMessage="1" showErrorMessage="1" error="Invalid Entry" sqref="AY13" xr:uid="{FFB82B04-F7C0-4743-81DB-9A237CBE3645}">
      <formula1>$A$651:$A$652</formula1>
    </dataValidation>
    <dataValidation type="decimal" allowBlank="1" showInputMessage="1" showErrorMessage="1" error="Value must be between 0 and 14." sqref="AY161" xr:uid="{80239C3A-0B8D-4B72-8EBC-AC75ED1D971B}">
      <formula1>0</formula1>
      <formula2>14</formula2>
    </dataValidation>
    <dataValidation type="date" operator="greaterThan" allowBlank="1" showInputMessage="1" showErrorMessage="1" error="Invalid Date/Time value." sqref="AY165" xr:uid="{4DF08CE7-A2A4-4949-86BD-9DFCCE66778A}">
      <formula1>36526</formula1>
    </dataValidation>
    <dataValidation type="list" operator="equal" allowBlank="1" showInputMessage="1" showErrorMessage="1" error="Invalid Entry" sqref="AZ13" xr:uid="{69322660-E068-4267-9F4A-73537291D5AC}">
      <formula1>$A$651:$A$652</formula1>
    </dataValidation>
    <dataValidation type="decimal" allowBlank="1" showInputMessage="1" showErrorMessage="1" error="Value must be between 0 and 14." sqref="AZ161" xr:uid="{797F199C-CA48-4E91-8740-7E3AC97867E3}">
      <formula1>0</formula1>
      <formula2>14</formula2>
    </dataValidation>
    <dataValidation type="date" operator="greaterThan" allowBlank="1" showInputMessage="1" showErrorMessage="1" error="Invalid Date/Time value." sqref="AZ165" xr:uid="{722CBB66-633A-4323-A70F-142BEAF7D7CD}">
      <formula1>36526</formula1>
    </dataValidation>
    <dataValidation type="list" operator="equal" allowBlank="1" showInputMessage="1" showErrorMessage="1" error="Invalid Entry" sqref="BA13" xr:uid="{2CE79141-D30A-4E1D-B6B5-905E770DA4FB}">
      <formula1>$A$651:$A$652</formula1>
    </dataValidation>
    <dataValidation type="decimal" allowBlank="1" showInputMessage="1" showErrorMessage="1" error="Value must be between 0 and 20." sqref="BA163" xr:uid="{02CA1F2A-A37D-471E-9FFF-60009B84849D}">
      <formula1>0</formula1>
      <formula2>20</formula2>
    </dataValidation>
    <dataValidation type="decimal" allowBlank="1" showInputMessage="1" showErrorMessage="1" error="Value must be between 10 and 35." sqref="BA164" xr:uid="{F544DCBD-2D94-45AB-A451-A377096BACFF}">
      <formula1>10</formula1>
      <formula2>35</formula2>
    </dataValidation>
    <dataValidation type="date" operator="greaterThan" allowBlank="1" showInputMessage="1" showErrorMessage="1" error="Invalid Date/Time value." sqref="BA165" xr:uid="{E5EEFFEA-C701-4775-9EB3-9FF67589753D}">
      <formula1>36526</formula1>
    </dataValidation>
  </dataValidations>
  <pageMargins left="0.75" right="0.75" top="1" bottom="1" header="0.5" footer="0.5"/>
  <pageSetup scale="10" orientation="landscape" r:id="rId1"/>
  <headerFooter alignWithMargins="0"/>
  <drawing r:id="rId2"/>
  <legacyDrawing r:id="rId3"/>
  <controls>
    <mc:AlternateContent xmlns:mc="http://schemas.openxmlformats.org/markup-compatibility/2006">
      <mc:Choice Requires="x14">
        <control shapeId="23986" r:id="rId4" name="cmdProof">
          <controlPr defaultSize="0" autoLine="0" r:id="rId5">
            <anchor moveWithCells="1">
              <from>
                <xdr:col>32</xdr:col>
                <xdr:colOff>114300</xdr:colOff>
                <xdr:row>4</xdr:row>
                <xdr:rowOff>38100</xdr:rowOff>
              </from>
              <to>
                <xdr:col>32</xdr:col>
                <xdr:colOff>857250</xdr:colOff>
                <xdr:row>5</xdr:row>
                <xdr:rowOff>171450</xdr:rowOff>
              </to>
            </anchor>
          </controlPr>
        </control>
      </mc:Choice>
      <mc:Fallback>
        <control shapeId="23986" r:id="rId4" name="cmdProof"/>
      </mc:Fallback>
    </mc:AlternateContent>
    <mc:AlternateContent xmlns:mc="http://schemas.openxmlformats.org/markup-compatibility/2006">
      <mc:Choice Requires="x14">
        <control shapeId="23638" r:id="rId6" name="cmbSlot40">
          <controlPr defaultSize="0" autoLine="0" linkedCell="$AH$73" r:id="rId7">
            <anchor>
              <from>
                <xdr:col>54</xdr:col>
                <xdr:colOff>600075</xdr:colOff>
                <xdr:row>8</xdr:row>
                <xdr:rowOff>19050</xdr:rowOff>
              </from>
              <to>
                <xdr:col>56</xdr:col>
                <xdr:colOff>419100</xdr:colOff>
                <xdr:row>9</xdr:row>
                <xdr:rowOff>19050</xdr:rowOff>
              </to>
            </anchor>
          </controlPr>
        </control>
      </mc:Choice>
      <mc:Fallback>
        <control shapeId="23638" r:id="rId6" name="cmbSlot40"/>
      </mc:Fallback>
    </mc:AlternateContent>
    <mc:AlternateContent xmlns:mc="http://schemas.openxmlformats.org/markup-compatibility/2006">
      <mc:Choice Requires="x14">
        <control shapeId="23637" r:id="rId8" name="cmbSlot39">
          <controlPr defaultSize="0" autoLine="0" linkedCell="$AH$72" r:id="rId7">
            <anchor>
              <from>
                <xdr:col>54</xdr:col>
                <xdr:colOff>600075</xdr:colOff>
                <xdr:row>7</xdr:row>
                <xdr:rowOff>28575</xdr:rowOff>
              </from>
              <to>
                <xdr:col>56</xdr:col>
                <xdr:colOff>419100</xdr:colOff>
                <xdr:row>8</xdr:row>
                <xdr:rowOff>28575</xdr:rowOff>
              </to>
            </anchor>
          </controlPr>
        </control>
      </mc:Choice>
      <mc:Fallback>
        <control shapeId="23637" r:id="rId8" name="cmbSlot39"/>
      </mc:Fallback>
    </mc:AlternateContent>
    <mc:AlternateContent xmlns:mc="http://schemas.openxmlformats.org/markup-compatibility/2006">
      <mc:Choice Requires="x14">
        <control shapeId="23636" r:id="rId9" name="cmbSlot38">
          <controlPr defaultSize="0" autoLine="0" linkedCell="$AH$71" r:id="rId7">
            <anchor>
              <from>
                <xdr:col>54</xdr:col>
                <xdr:colOff>600075</xdr:colOff>
                <xdr:row>6</xdr:row>
                <xdr:rowOff>28575</xdr:rowOff>
              </from>
              <to>
                <xdr:col>56</xdr:col>
                <xdr:colOff>419100</xdr:colOff>
                <xdr:row>7</xdr:row>
                <xdr:rowOff>28575</xdr:rowOff>
              </to>
            </anchor>
          </controlPr>
        </control>
      </mc:Choice>
      <mc:Fallback>
        <control shapeId="23636" r:id="rId9" name="cmbSlot38"/>
      </mc:Fallback>
    </mc:AlternateContent>
    <mc:AlternateContent xmlns:mc="http://schemas.openxmlformats.org/markup-compatibility/2006">
      <mc:Choice Requires="x14">
        <control shapeId="23635" r:id="rId10" name="cmbSlot37">
          <controlPr defaultSize="0" autoLine="0" linkedCell="$AH$70" r:id="rId7">
            <anchor>
              <from>
                <xdr:col>54</xdr:col>
                <xdr:colOff>600075</xdr:colOff>
                <xdr:row>5</xdr:row>
                <xdr:rowOff>19050</xdr:rowOff>
              </from>
              <to>
                <xdr:col>56</xdr:col>
                <xdr:colOff>419100</xdr:colOff>
                <xdr:row>6</xdr:row>
                <xdr:rowOff>19050</xdr:rowOff>
              </to>
            </anchor>
          </controlPr>
        </control>
      </mc:Choice>
      <mc:Fallback>
        <control shapeId="23635" r:id="rId10" name="cmbSlot37"/>
      </mc:Fallback>
    </mc:AlternateContent>
    <mc:AlternateContent xmlns:mc="http://schemas.openxmlformats.org/markup-compatibility/2006">
      <mc:Choice Requires="x14">
        <control shapeId="23634" r:id="rId11" name="cmbSlot36">
          <controlPr defaultSize="0" autoLine="0" linkedCell="$AH$69" r:id="rId7">
            <anchor>
              <from>
                <xdr:col>54</xdr:col>
                <xdr:colOff>600075</xdr:colOff>
                <xdr:row>4</xdr:row>
                <xdr:rowOff>28575</xdr:rowOff>
              </from>
              <to>
                <xdr:col>56</xdr:col>
                <xdr:colOff>419100</xdr:colOff>
                <xdr:row>5</xdr:row>
                <xdr:rowOff>28575</xdr:rowOff>
              </to>
            </anchor>
          </controlPr>
        </control>
      </mc:Choice>
      <mc:Fallback>
        <control shapeId="23634" r:id="rId11" name="cmbSlot36"/>
      </mc:Fallback>
    </mc:AlternateContent>
    <mc:AlternateContent xmlns:mc="http://schemas.openxmlformats.org/markup-compatibility/2006">
      <mc:Choice Requires="x14">
        <control shapeId="23633" r:id="rId12" name="cmbSlot35">
          <controlPr defaultSize="0" autoLine="0" linkedCell="$AH$68" r:id="rId13">
            <anchor>
              <from>
                <xdr:col>54</xdr:col>
                <xdr:colOff>600075</xdr:colOff>
                <xdr:row>3</xdr:row>
                <xdr:rowOff>28575</xdr:rowOff>
              </from>
              <to>
                <xdr:col>56</xdr:col>
                <xdr:colOff>419100</xdr:colOff>
                <xdr:row>4</xdr:row>
                <xdr:rowOff>28575</xdr:rowOff>
              </to>
            </anchor>
          </controlPr>
        </control>
      </mc:Choice>
      <mc:Fallback>
        <control shapeId="23633" r:id="rId12" name="cmbSlot35"/>
      </mc:Fallback>
    </mc:AlternateContent>
    <mc:AlternateContent xmlns:mc="http://schemas.openxmlformats.org/markup-compatibility/2006">
      <mc:Choice Requires="x14">
        <control shapeId="23632" r:id="rId14" name="cmbSlot34">
          <controlPr defaultSize="0" autoLine="0" linkedCell="$AH$67" r:id="rId15">
            <anchor>
              <from>
                <xdr:col>54</xdr:col>
                <xdr:colOff>600075</xdr:colOff>
                <xdr:row>2</xdr:row>
                <xdr:rowOff>28575</xdr:rowOff>
              </from>
              <to>
                <xdr:col>56</xdr:col>
                <xdr:colOff>419100</xdr:colOff>
                <xdr:row>3</xdr:row>
                <xdr:rowOff>28575</xdr:rowOff>
              </to>
            </anchor>
          </controlPr>
        </control>
      </mc:Choice>
      <mc:Fallback>
        <control shapeId="23632" r:id="rId14" name="cmbSlot34"/>
      </mc:Fallback>
    </mc:AlternateContent>
    <mc:AlternateContent xmlns:mc="http://schemas.openxmlformats.org/markup-compatibility/2006">
      <mc:Choice Requires="x14">
        <control shapeId="23631" r:id="rId16" name="cmbSlot33">
          <controlPr defaultSize="0" autoLine="0" linkedCell="$AH$66" r:id="rId7">
            <anchor>
              <from>
                <xdr:col>54</xdr:col>
                <xdr:colOff>600075</xdr:colOff>
                <xdr:row>1</xdr:row>
                <xdr:rowOff>28575</xdr:rowOff>
              </from>
              <to>
                <xdr:col>56</xdr:col>
                <xdr:colOff>419100</xdr:colOff>
                <xdr:row>2</xdr:row>
                <xdr:rowOff>28575</xdr:rowOff>
              </to>
            </anchor>
          </controlPr>
        </control>
      </mc:Choice>
      <mc:Fallback>
        <control shapeId="23631" r:id="rId16" name="cmbSlot33"/>
      </mc:Fallback>
    </mc:AlternateContent>
    <mc:AlternateContent xmlns:mc="http://schemas.openxmlformats.org/markup-compatibility/2006">
      <mc:Choice Requires="x14">
        <control shapeId="23630" r:id="rId17" name="TextBox64">
          <controlPr defaultSize="0" autoLine="0" linkedCell="$AF$73" r:id="rId18">
            <anchor>
              <from>
                <xdr:col>53</xdr:col>
                <xdr:colOff>161925</xdr:colOff>
                <xdr:row>8</xdr:row>
                <xdr:rowOff>38100</xdr:rowOff>
              </from>
              <to>
                <xdr:col>54</xdr:col>
                <xdr:colOff>571500</xdr:colOff>
                <xdr:row>9</xdr:row>
                <xdr:rowOff>9525</xdr:rowOff>
              </to>
            </anchor>
          </controlPr>
        </control>
      </mc:Choice>
      <mc:Fallback>
        <control shapeId="23630" r:id="rId17" name="TextBox64"/>
      </mc:Fallback>
    </mc:AlternateContent>
    <mc:AlternateContent xmlns:mc="http://schemas.openxmlformats.org/markup-compatibility/2006">
      <mc:Choice Requires="x14">
        <control shapeId="23629" r:id="rId19" name="TextBox63">
          <controlPr defaultSize="0" autoLine="0" linkedCell="$AF$72" r:id="rId20">
            <anchor>
              <from>
                <xdr:col>53</xdr:col>
                <xdr:colOff>161925</xdr:colOff>
                <xdr:row>7</xdr:row>
                <xdr:rowOff>38100</xdr:rowOff>
              </from>
              <to>
                <xdr:col>54</xdr:col>
                <xdr:colOff>571500</xdr:colOff>
                <xdr:row>8</xdr:row>
                <xdr:rowOff>9525</xdr:rowOff>
              </to>
            </anchor>
          </controlPr>
        </control>
      </mc:Choice>
      <mc:Fallback>
        <control shapeId="23629" r:id="rId19" name="TextBox63"/>
      </mc:Fallback>
    </mc:AlternateContent>
    <mc:AlternateContent xmlns:mc="http://schemas.openxmlformats.org/markup-compatibility/2006">
      <mc:Choice Requires="x14">
        <control shapeId="23628" r:id="rId21" name="TextBox62">
          <controlPr defaultSize="0" autoLine="0" linkedCell="$AF$71" r:id="rId22">
            <anchor>
              <from>
                <xdr:col>53</xdr:col>
                <xdr:colOff>161925</xdr:colOff>
                <xdr:row>6</xdr:row>
                <xdr:rowOff>38100</xdr:rowOff>
              </from>
              <to>
                <xdr:col>54</xdr:col>
                <xdr:colOff>571500</xdr:colOff>
                <xdr:row>7</xdr:row>
                <xdr:rowOff>9525</xdr:rowOff>
              </to>
            </anchor>
          </controlPr>
        </control>
      </mc:Choice>
      <mc:Fallback>
        <control shapeId="23628" r:id="rId21" name="TextBox62"/>
      </mc:Fallback>
    </mc:AlternateContent>
    <mc:AlternateContent xmlns:mc="http://schemas.openxmlformats.org/markup-compatibility/2006">
      <mc:Choice Requires="x14">
        <control shapeId="23627" r:id="rId23" name="TextBox61">
          <controlPr defaultSize="0" autoLine="0" linkedCell="$AF$70" r:id="rId24">
            <anchor>
              <from>
                <xdr:col>53</xdr:col>
                <xdr:colOff>161925</xdr:colOff>
                <xdr:row>5</xdr:row>
                <xdr:rowOff>38100</xdr:rowOff>
              </from>
              <to>
                <xdr:col>54</xdr:col>
                <xdr:colOff>571500</xdr:colOff>
                <xdr:row>6</xdr:row>
                <xdr:rowOff>9525</xdr:rowOff>
              </to>
            </anchor>
          </controlPr>
        </control>
      </mc:Choice>
      <mc:Fallback>
        <control shapeId="23627" r:id="rId23" name="TextBox61"/>
      </mc:Fallback>
    </mc:AlternateContent>
    <mc:AlternateContent xmlns:mc="http://schemas.openxmlformats.org/markup-compatibility/2006">
      <mc:Choice Requires="x14">
        <control shapeId="23626" r:id="rId25" name="TextBox60">
          <controlPr defaultSize="0" autoLine="0" linkedCell="$AF$69" r:id="rId26">
            <anchor>
              <from>
                <xdr:col>53</xdr:col>
                <xdr:colOff>161925</xdr:colOff>
                <xdr:row>4</xdr:row>
                <xdr:rowOff>38100</xdr:rowOff>
              </from>
              <to>
                <xdr:col>54</xdr:col>
                <xdr:colOff>571500</xdr:colOff>
                <xdr:row>5</xdr:row>
                <xdr:rowOff>9525</xdr:rowOff>
              </to>
            </anchor>
          </controlPr>
        </control>
      </mc:Choice>
      <mc:Fallback>
        <control shapeId="23626" r:id="rId25" name="TextBox60"/>
      </mc:Fallback>
    </mc:AlternateContent>
    <mc:AlternateContent xmlns:mc="http://schemas.openxmlformats.org/markup-compatibility/2006">
      <mc:Choice Requires="x14">
        <control shapeId="23625" r:id="rId27" name="TextBox59">
          <controlPr defaultSize="0" autoLine="0" linkedCell="$AF$68" r:id="rId28">
            <anchor>
              <from>
                <xdr:col>53</xdr:col>
                <xdr:colOff>161925</xdr:colOff>
                <xdr:row>3</xdr:row>
                <xdr:rowOff>38100</xdr:rowOff>
              </from>
              <to>
                <xdr:col>54</xdr:col>
                <xdr:colOff>571500</xdr:colOff>
                <xdr:row>4</xdr:row>
                <xdr:rowOff>9525</xdr:rowOff>
              </to>
            </anchor>
          </controlPr>
        </control>
      </mc:Choice>
      <mc:Fallback>
        <control shapeId="23625" r:id="rId27" name="TextBox59"/>
      </mc:Fallback>
    </mc:AlternateContent>
    <mc:AlternateContent xmlns:mc="http://schemas.openxmlformats.org/markup-compatibility/2006">
      <mc:Choice Requires="x14">
        <control shapeId="23624" r:id="rId29" name="TextBox58">
          <controlPr defaultSize="0" autoLine="0" linkedCell="$AF$67" r:id="rId30">
            <anchor>
              <from>
                <xdr:col>53</xdr:col>
                <xdr:colOff>161925</xdr:colOff>
                <xdr:row>2</xdr:row>
                <xdr:rowOff>38100</xdr:rowOff>
              </from>
              <to>
                <xdr:col>54</xdr:col>
                <xdr:colOff>571500</xdr:colOff>
                <xdr:row>3</xdr:row>
                <xdr:rowOff>9525</xdr:rowOff>
              </to>
            </anchor>
          </controlPr>
        </control>
      </mc:Choice>
      <mc:Fallback>
        <control shapeId="23624" r:id="rId29" name="TextBox58"/>
      </mc:Fallback>
    </mc:AlternateContent>
    <mc:AlternateContent xmlns:mc="http://schemas.openxmlformats.org/markup-compatibility/2006">
      <mc:Choice Requires="x14">
        <control shapeId="23623" r:id="rId31" name="TextBox57">
          <controlPr defaultSize="0" autoLine="0" linkedCell="$AF$66" r:id="rId32">
            <anchor>
              <from>
                <xdr:col>53</xdr:col>
                <xdr:colOff>161925</xdr:colOff>
                <xdr:row>1</xdr:row>
                <xdr:rowOff>38100</xdr:rowOff>
              </from>
              <to>
                <xdr:col>54</xdr:col>
                <xdr:colOff>571500</xdr:colOff>
                <xdr:row>2</xdr:row>
                <xdr:rowOff>9525</xdr:rowOff>
              </to>
            </anchor>
          </controlPr>
        </control>
      </mc:Choice>
      <mc:Fallback>
        <control shapeId="23623" r:id="rId31" name="TextBox57"/>
      </mc:Fallback>
    </mc:AlternateContent>
    <mc:AlternateContent xmlns:mc="http://schemas.openxmlformats.org/markup-compatibility/2006">
      <mc:Choice Requires="x14">
        <control shapeId="19326" r:id="rId33" name="cmdReProtect">
          <controlPr defaultSize="0" print="0" autoLine="0" r:id="rId34">
            <anchor moveWithCells="1" sizeWithCells="1">
              <from>
                <xdr:col>2</xdr:col>
                <xdr:colOff>609600</xdr:colOff>
                <xdr:row>1</xdr:row>
                <xdr:rowOff>66675</xdr:rowOff>
              </from>
              <to>
                <xdr:col>4</xdr:col>
                <xdr:colOff>28575</xdr:colOff>
                <xdr:row>2</xdr:row>
                <xdr:rowOff>123825</xdr:rowOff>
              </to>
            </anchor>
          </controlPr>
        </control>
      </mc:Choice>
      <mc:Fallback>
        <control shapeId="19326" r:id="rId33" name="cmdReProtect"/>
      </mc:Fallback>
    </mc:AlternateContent>
    <mc:AlternateContent xmlns:mc="http://schemas.openxmlformats.org/markup-compatibility/2006">
      <mc:Choice Requires="x14">
        <control shapeId="7337" r:id="rId35" name="cmbSlot3">
          <controlPr defaultSize="0" autoLine="0" linkedCell="$AH$36" listFillRange="Temp!$J$4:$L$300" r:id="rId36">
            <anchor>
              <from>
                <xdr:col>41</xdr:col>
                <xdr:colOff>1057275</xdr:colOff>
                <xdr:row>3</xdr:row>
                <xdr:rowOff>28575</xdr:rowOff>
              </from>
              <to>
                <xdr:col>42</xdr:col>
                <xdr:colOff>914400</xdr:colOff>
                <xdr:row>4</xdr:row>
                <xdr:rowOff>28575</xdr:rowOff>
              </to>
            </anchor>
          </controlPr>
        </control>
      </mc:Choice>
      <mc:Fallback>
        <control shapeId="7337" r:id="rId35" name="cmbSlot3"/>
      </mc:Fallback>
    </mc:AlternateContent>
    <mc:AlternateContent xmlns:mc="http://schemas.openxmlformats.org/markup-compatibility/2006">
      <mc:Choice Requires="x14">
        <control shapeId="7338" r:id="rId37" name="cmbSlot4">
          <controlPr defaultSize="0" autoLine="0" linkedCell="$AH$37" listFillRange="Temp!$J$4:$L$300" r:id="rId38">
            <anchor>
              <from>
                <xdr:col>41</xdr:col>
                <xdr:colOff>1057275</xdr:colOff>
                <xdr:row>4</xdr:row>
                <xdr:rowOff>28575</xdr:rowOff>
              </from>
              <to>
                <xdr:col>42</xdr:col>
                <xdr:colOff>914400</xdr:colOff>
                <xdr:row>5</xdr:row>
                <xdr:rowOff>28575</xdr:rowOff>
              </to>
            </anchor>
          </controlPr>
        </control>
      </mc:Choice>
      <mc:Fallback>
        <control shapeId="7338" r:id="rId37" name="cmbSlot4"/>
      </mc:Fallback>
    </mc:AlternateContent>
    <mc:AlternateContent xmlns:mc="http://schemas.openxmlformats.org/markup-compatibility/2006">
      <mc:Choice Requires="x14">
        <control shapeId="7390" r:id="rId39" name="cmdAddNewSample">
          <controlPr defaultSize="0" autoLine="0" r:id="rId40">
            <anchor moveWithCells="1">
              <from>
                <xdr:col>31</xdr:col>
                <xdr:colOff>638175</xdr:colOff>
                <xdr:row>4</xdr:row>
                <xdr:rowOff>47625</xdr:rowOff>
              </from>
              <to>
                <xdr:col>31</xdr:col>
                <xdr:colOff>1381125</xdr:colOff>
                <xdr:row>5</xdr:row>
                <xdr:rowOff>180975</xdr:rowOff>
              </to>
            </anchor>
          </controlPr>
        </control>
      </mc:Choice>
      <mc:Fallback>
        <control shapeId="7390" r:id="rId39" name="cmdAddNewSample"/>
      </mc:Fallback>
    </mc:AlternateContent>
    <mc:AlternateContent xmlns:mc="http://schemas.openxmlformats.org/markup-compatibility/2006">
      <mc:Choice Requires="x14">
        <control shapeId="7366" r:id="rId41" name="cmbSlot32">
          <controlPr defaultSize="0" autoLine="0" linkedCell="$AH$65" r:id="rId42">
            <anchor>
              <from>
                <xdr:col>47</xdr:col>
                <xdr:colOff>266700</xdr:colOff>
                <xdr:row>8</xdr:row>
                <xdr:rowOff>28575</xdr:rowOff>
              </from>
              <to>
                <xdr:col>53</xdr:col>
                <xdr:colOff>123825</xdr:colOff>
                <xdr:row>9</xdr:row>
                <xdr:rowOff>28575</xdr:rowOff>
              </to>
            </anchor>
          </controlPr>
        </control>
      </mc:Choice>
      <mc:Fallback>
        <control shapeId="7366" r:id="rId41" name="cmbSlot32"/>
      </mc:Fallback>
    </mc:AlternateContent>
    <mc:AlternateContent xmlns:mc="http://schemas.openxmlformats.org/markup-compatibility/2006">
      <mc:Choice Requires="x14">
        <control shapeId="7365" r:id="rId43" name="cmbSlot31">
          <controlPr defaultSize="0" autoLine="0" linkedCell="$AH$64" r:id="rId7">
            <anchor>
              <from>
                <xdr:col>47</xdr:col>
                <xdr:colOff>266700</xdr:colOff>
                <xdr:row>7</xdr:row>
                <xdr:rowOff>38100</xdr:rowOff>
              </from>
              <to>
                <xdr:col>53</xdr:col>
                <xdr:colOff>123825</xdr:colOff>
                <xdr:row>8</xdr:row>
                <xdr:rowOff>38100</xdr:rowOff>
              </to>
            </anchor>
          </controlPr>
        </control>
      </mc:Choice>
      <mc:Fallback>
        <control shapeId="7365" r:id="rId43" name="cmbSlot31"/>
      </mc:Fallback>
    </mc:AlternateContent>
    <mc:AlternateContent xmlns:mc="http://schemas.openxmlformats.org/markup-compatibility/2006">
      <mc:Choice Requires="x14">
        <control shapeId="7364" r:id="rId44" name="cmbSlot30">
          <controlPr defaultSize="0" autoLine="0" linkedCell="$AH$63" r:id="rId45">
            <anchor>
              <from>
                <xdr:col>47</xdr:col>
                <xdr:colOff>266700</xdr:colOff>
                <xdr:row>6</xdr:row>
                <xdr:rowOff>38100</xdr:rowOff>
              </from>
              <to>
                <xdr:col>53</xdr:col>
                <xdr:colOff>123825</xdr:colOff>
                <xdr:row>7</xdr:row>
                <xdr:rowOff>38100</xdr:rowOff>
              </to>
            </anchor>
          </controlPr>
        </control>
      </mc:Choice>
      <mc:Fallback>
        <control shapeId="7364" r:id="rId44" name="cmbSlot30"/>
      </mc:Fallback>
    </mc:AlternateContent>
    <mc:AlternateContent xmlns:mc="http://schemas.openxmlformats.org/markup-compatibility/2006">
      <mc:Choice Requires="x14">
        <control shapeId="7363" r:id="rId46" name="cmbSlot29">
          <controlPr defaultSize="0" autoLine="0" linkedCell="$AH$62" r:id="rId47">
            <anchor>
              <from>
                <xdr:col>47</xdr:col>
                <xdr:colOff>266700</xdr:colOff>
                <xdr:row>5</xdr:row>
                <xdr:rowOff>28575</xdr:rowOff>
              </from>
              <to>
                <xdr:col>53</xdr:col>
                <xdr:colOff>123825</xdr:colOff>
                <xdr:row>6</xdr:row>
                <xdr:rowOff>28575</xdr:rowOff>
              </to>
            </anchor>
          </controlPr>
        </control>
      </mc:Choice>
      <mc:Fallback>
        <control shapeId="7363" r:id="rId46" name="cmbSlot29"/>
      </mc:Fallback>
    </mc:AlternateContent>
    <mc:AlternateContent xmlns:mc="http://schemas.openxmlformats.org/markup-compatibility/2006">
      <mc:Choice Requires="x14">
        <control shapeId="7362" r:id="rId48" name="cmbSlot28">
          <controlPr defaultSize="0" autoLine="0" linkedCell="$AH$61" r:id="rId7">
            <anchor>
              <from>
                <xdr:col>47</xdr:col>
                <xdr:colOff>266700</xdr:colOff>
                <xdr:row>4</xdr:row>
                <xdr:rowOff>38100</xdr:rowOff>
              </from>
              <to>
                <xdr:col>53</xdr:col>
                <xdr:colOff>123825</xdr:colOff>
                <xdr:row>5</xdr:row>
                <xdr:rowOff>38100</xdr:rowOff>
              </to>
            </anchor>
          </controlPr>
        </control>
      </mc:Choice>
      <mc:Fallback>
        <control shapeId="7362" r:id="rId48" name="cmbSlot28"/>
      </mc:Fallback>
    </mc:AlternateContent>
    <mc:AlternateContent xmlns:mc="http://schemas.openxmlformats.org/markup-compatibility/2006">
      <mc:Choice Requires="x14">
        <control shapeId="7361" r:id="rId49" name="cmbSlot27">
          <controlPr defaultSize="0" autoLine="0" linkedCell="$AH$60" r:id="rId50">
            <anchor>
              <from>
                <xdr:col>47</xdr:col>
                <xdr:colOff>266700</xdr:colOff>
                <xdr:row>3</xdr:row>
                <xdr:rowOff>38100</xdr:rowOff>
              </from>
              <to>
                <xdr:col>53</xdr:col>
                <xdr:colOff>123825</xdr:colOff>
                <xdr:row>4</xdr:row>
                <xdr:rowOff>38100</xdr:rowOff>
              </to>
            </anchor>
          </controlPr>
        </control>
      </mc:Choice>
      <mc:Fallback>
        <control shapeId="7361" r:id="rId49" name="cmbSlot27"/>
      </mc:Fallback>
    </mc:AlternateContent>
    <mc:AlternateContent xmlns:mc="http://schemas.openxmlformats.org/markup-compatibility/2006">
      <mc:Choice Requires="x14">
        <control shapeId="7360" r:id="rId51" name="cmbSlot26">
          <controlPr defaultSize="0" autoLine="0" linkedCell="$AH$59" r:id="rId52">
            <anchor>
              <from>
                <xdr:col>47</xdr:col>
                <xdr:colOff>266700</xdr:colOff>
                <xdr:row>2</xdr:row>
                <xdr:rowOff>38100</xdr:rowOff>
              </from>
              <to>
                <xdr:col>53</xdr:col>
                <xdr:colOff>123825</xdr:colOff>
                <xdr:row>3</xdr:row>
                <xdr:rowOff>38100</xdr:rowOff>
              </to>
            </anchor>
          </controlPr>
        </control>
      </mc:Choice>
      <mc:Fallback>
        <control shapeId="7360" r:id="rId51" name="cmbSlot26"/>
      </mc:Fallback>
    </mc:AlternateContent>
    <mc:AlternateContent xmlns:mc="http://schemas.openxmlformats.org/markup-compatibility/2006">
      <mc:Choice Requires="x14">
        <control shapeId="7359" r:id="rId53" name="cmbSlot25">
          <controlPr defaultSize="0" autoLine="0" linkedCell="$AH$58" r:id="rId54">
            <anchor>
              <from>
                <xdr:col>47</xdr:col>
                <xdr:colOff>266700</xdr:colOff>
                <xdr:row>1</xdr:row>
                <xdr:rowOff>38100</xdr:rowOff>
              </from>
              <to>
                <xdr:col>53</xdr:col>
                <xdr:colOff>123825</xdr:colOff>
                <xdr:row>2</xdr:row>
                <xdr:rowOff>38100</xdr:rowOff>
              </to>
            </anchor>
          </controlPr>
        </control>
      </mc:Choice>
      <mc:Fallback>
        <control shapeId="7359" r:id="rId53" name="cmbSlot25"/>
      </mc:Fallback>
    </mc:AlternateContent>
    <mc:AlternateContent xmlns:mc="http://schemas.openxmlformats.org/markup-compatibility/2006">
      <mc:Choice Requires="x14">
        <control shapeId="7358" r:id="rId55" name="cmbSlot24">
          <controlPr defaultSize="0" autoLine="0" linkedCell="$AH$57" r:id="rId7">
            <anchor>
              <from>
                <xdr:col>45</xdr:col>
                <xdr:colOff>514350</xdr:colOff>
                <xdr:row>8</xdr:row>
                <xdr:rowOff>28575</xdr:rowOff>
              </from>
              <to>
                <xdr:col>46</xdr:col>
                <xdr:colOff>371475</xdr:colOff>
                <xdr:row>9</xdr:row>
                <xdr:rowOff>28575</xdr:rowOff>
              </to>
            </anchor>
          </controlPr>
        </control>
      </mc:Choice>
      <mc:Fallback>
        <control shapeId="7358" r:id="rId55" name="cmbSlot24"/>
      </mc:Fallback>
    </mc:AlternateContent>
    <mc:AlternateContent xmlns:mc="http://schemas.openxmlformats.org/markup-compatibility/2006">
      <mc:Choice Requires="x14">
        <control shapeId="7357" r:id="rId56" name="cmbSlot23">
          <controlPr defaultSize="0" autoLine="0" linkedCell="$AH$56" r:id="rId7">
            <anchor>
              <from>
                <xdr:col>45</xdr:col>
                <xdr:colOff>514350</xdr:colOff>
                <xdr:row>7</xdr:row>
                <xdr:rowOff>19050</xdr:rowOff>
              </from>
              <to>
                <xdr:col>46</xdr:col>
                <xdr:colOff>371475</xdr:colOff>
                <xdr:row>8</xdr:row>
                <xdr:rowOff>19050</xdr:rowOff>
              </to>
            </anchor>
          </controlPr>
        </control>
      </mc:Choice>
      <mc:Fallback>
        <control shapeId="7357" r:id="rId56" name="cmbSlot23"/>
      </mc:Fallback>
    </mc:AlternateContent>
    <mc:AlternateContent xmlns:mc="http://schemas.openxmlformats.org/markup-compatibility/2006">
      <mc:Choice Requires="x14">
        <control shapeId="7356" r:id="rId57" name="cmbSlot22">
          <controlPr defaultSize="0" autoLine="0" linkedCell="$AH$55" r:id="rId7">
            <anchor>
              <from>
                <xdr:col>45</xdr:col>
                <xdr:colOff>514350</xdr:colOff>
                <xdr:row>6</xdr:row>
                <xdr:rowOff>28575</xdr:rowOff>
              </from>
              <to>
                <xdr:col>46</xdr:col>
                <xdr:colOff>371475</xdr:colOff>
                <xdr:row>7</xdr:row>
                <xdr:rowOff>28575</xdr:rowOff>
              </to>
            </anchor>
          </controlPr>
        </control>
      </mc:Choice>
      <mc:Fallback>
        <control shapeId="7356" r:id="rId57" name="cmbSlot22"/>
      </mc:Fallback>
    </mc:AlternateContent>
    <mc:AlternateContent xmlns:mc="http://schemas.openxmlformats.org/markup-compatibility/2006">
      <mc:Choice Requires="x14">
        <control shapeId="7355" r:id="rId58" name="cmbSlot21">
          <controlPr defaultSize="0" autoLine="0" linkedCell="$AH$54" r:id="rId7">
            <anchor>
              <from>
                <xdr:col>45</xdr:col>
                <xdr:colOff>514350</xdr:colOff>
                <xdr:row>5</xdr:row>
                <xdr:rowOff>28575</xdr:rowOff>
              </from>
              <to>
                <xdr:col>46</xdr:col>
                <xdr:colOff>371475</xdr:colOff>
                <xdr:row>6</xdr:row>
                <xdr:rowOff>28575</xdr:rowOff>
              </to>
            </anchor>
          </controlPr>
        </control>
      </mc:Choice>
      <mc:Fallback>
        <control shapeId="7355" r:id="rId58" name="cmbSlot21"/>
      </mc:Fallback>
    </mc:AlternateContent>
    <mc:AlternateContent xmlns:mc="http://schemas.openxmlformats.org/markup-compatibility/2006">
      <mc:Choice Requires="x14">
        <control shapeId="7354" r:id="rId59" name="cmbSlot20">
          <controlPr defaultSize="0" autoLine="0" linkedCell="$AH$53" r:id="rId7">
            <anchor>
              <from>
                <xdr:col>45</xdr:col>
                <xdr:colOff>514350</xdr:colOff>
                <xdr:row>4</xdr:row>
                <xdr:rowOff>28575</xdr:rowOff>
              </from>
              <to>
                <xdr:col>46</xdr:col>
                <xdr:colOff>371475</xdr:colOff>
                <xdr:row>5</xdr:row>
                <xdr:rowOff>28575</xdr:rowOff>
              </to>
            </anchor>
          </controlPr>
        </control>
      </mc:Choice>
      <mc:Fallback>
        <control shapeId="7354" r:id="rId59" name="cmbSlot20"/>
      </mc:Fallback>
    </mc:AlternateContent>
    <mc:AlternateContent xmlns:mc="http://schemas.openxmlformats.org/markup-compatibility/2006">
      <mc:Choice Requires="x14">
        <control shapeId="7353" r:id="rId60" name="cmbSlot19">
          <controlPr defaultSize="0" autoLine="0" linkedCell="$AH$52" r:id="rId7">
            <anchor>
              <from>
                <xdr:col>45</xdr:col>
                <xdr:colOff>514350</xdr:colOff>
                <xdr:row>3</xdr:row>
                <xdr:rowOff>19050</xdr:rowOff>
              </from>
              <to>
                <xdr:col>46</xdr:col>
                <xdr:colOff>371475</xdr:colOff>
                <xdr:row>4</xdr:row>
                <xdr:rowOff>19050</xdr:rowOff>
              </to>
            </anchor>
          </controlPr>
        </control>
      </mc:Choice>
      <mc:Fallback>
        <control shapeId="7353" r:id="rId60" name="cmbSlot19"/>
      </mc:Fallback>
    </mc:AlternateContent>
    <mc:AlternateContent xmlns:mc="http://schemas.openxmlformats.org/markup-compatibility/2006">
      <mc:Choice Requires="x14">
        <control shapeId="7352" r:id="rId61" name="cmbSlot18">
          <controlPr defaultSize="0" autoLine="0" linkedCell="$AH$51" r:id="rId7">
            <anchor>
              <from>
                <xdr:col>45</xdr:col>
                <xdr:colOff>514350</xdr:colOff>
                <xdr:row>2</xdr:row>
                <xdr:rowOff>28575</xdr:rowOff>
              </from>
              <to>
                <xdr:col>46</xdr:col>
                <xdr:colOff>371475</xdr:colOff>
                <xdr:row>3</xdr:row>
                <xdr:rowOff>28575</xdr:rowOff>
              </to>
            </anchor>
          </controlPr>
        </control>
      </mc:Choice>
      <mc:Fallback>
        <control shapeId="7352" r:id="rId61" name="cmbSlot18"/>
      </mc:Fallback>
    </mc:AlternateContent>
    <mc:AlternateContent xmlns:mc="http://schemas.openxmlformats.org/markup-compatibility/2006">
      <mc:Choice Requires="x14">
        <control shapeId="7351" r:id="rId62" name="cmbSlot17">
          <controlPr defaultSize="0" autoLine="0" linkedCell="$AH$50" r:id="rId7">
            <anchor>
              <from>
                <xdr:col>45</xdr:col>
                <xdr:colOff>514350</xdr:colOff>
                <xdr:row>1</xdr:row>
                <xdr:rowOff>38100</xdr:rowOff>
              </from>
              <to>
                <xdr:col>46</xdr:col>
                <xdr:colOff>371475</xdr:colOff>
                <xdr:row>2</xdr:row>
                <xdr:rowOff>38100</xdr:rowOff>
              </to>
            </anchor>
          </controlPr>
        </control>
      </mc:Choice>
      <mc:Fallback>
        <control shapeId="7351" r:id="rId62" name="cmbSlot17"/>
      </mc:Fallback>
    </mc:AlternateContent>
    <mc:AlternateContent xmlns:mc="http://schemas.openxmlformats.org/markup-compatibility/2006">
      <mc:Choice Requires="x14">
        <control shapeId="7350" r:id="rId63" name="cmbSlot16">
          <controlPr defaultSize="0" autoLine="0" linkedCell="$AH$49" r:id="rId7">
            <anchor>
              <from>
                <xdr:col>43</xdr:col>
                <xdr:colOff>771525</xdr:colOff>
                <xdr:row>8</xdr:row>
                <xdr:rowOff>28575</xdr:rowOff>
              </from>
              <to>
                <xdr:col>44</xdr:col>
                <xdr:colOff>628650</xdr:colOff>
                <xdr:row>9</xdr:row>
                <xdr:rowOff>28575</xdr:rowOff>
              </to>
            </anchor>
          </controlPr>
        </control>
      </mc:Choice>
      <mc:Fallback>
        <control shapeId="7350" r:id="rId63" name="cmbSlot16"/>
      </mc:Fallback>
    </mc:AlternateContent>
    <mc:AlternateContent xmlns:mc="http://schemas.openxmlformats.org/markup-compatibility/2006">
      <mc:Choice Requires="x14">
        <control shapeId="7349" r:id="rId64" name="cmbSlot15">
          <controlPr defaultSize="0" autoLine="0" linkedCell="$AH$48" r:id="rId7">
            <anchor>
              <from>
                <xdr:col>43</xdr:col>
                <xdr:colOff>771525</xdr:colOff>
                <xdr:row>7</xdr:row>
                <xdr:rowOff>28575</xdr:rowOff>
              </from>
              <to>
                <xdr:col>44</xdr:col>
                <xdr:colOff>628650</xdr:colOff>
                <xdr:row>8</xdr:row>
                <xdr:rowOff>28575</xdr:rowOff>
              </to>
            </anchor>
          </controlPr>
        </control>
      </mc:Choice>
      <mc:Fallback>
        <control shapeId="7349" r:id="rId64" name="cmbSlot15"/>
      </mc:Fallback>
    </mc:AlternateContent>
    <mc:AlternateContent xmlns:mc="http://schemas.openxmlformats.org/markup-compatibility/2006">
      <mc:Choice Requires="x14">
        <control shapeId="7348" r:id="rId65" name="cmbSlot14">
          <controlPr defaultSize="0" autoLine="0" linkedCell="$AH$47" listFillRange="Temp!$J$4:$L$1200" r:id="rId66">
            <anchor>
              <from>
                <xdr:col>43</xdr:col>
                <xdr:colOff>771525</xdr:colOff>
                <xdr:row>6</xdr:row>
                <xdr:rowOff>28575</xdr:rowOff>
              </from>
              <to>
                <xdr:col>44</xdr:col>
                <xdr:colOff>628650</xdr:colOff>
                <xdr:row>7</xdr:row>
                <xdr:rowOff>28575</xdr:rowOff>
              </to>
            </anchor>
          </controlPr>
        </control>
      </mc:Choice>
      <mc:Fallback>
        <control shapeId="7348" r:id="rId65" name="cmbSlot14"/>
      </mc:Fallback>
    </mc:AlternateContent>
    <mc:AlternateContent xmlns:mc="http://schemas.openxmlformats.org/markup-compatibility/2006">
      <mc:Choice Requires="x14">
        <control shapeId="7347" r:id="rId67" name="cmbSlot13">
          <controlPr defaultSize="0" autoLine="0" linkedCell="$AH$46" r:id="rId7">
            <anchor>
              <from>
                <xdr:col>43</xdr:col>
                <xdr:colOff>771525</xdr:colOff>
                <xdr:row>5</xdr:row>
                <xdr:rowOff>28575</xdr:rowOff>
              </from>
              <to>
                <xdr:col>44</xdr:col>
                <xdr:colOff>628650</xdr:colOff>
                <xdr:row>6</xdr:row>
                <xdr:rowOff>28575</xdr:rowOff>
              </to>
            </anchor>
          </controlPr>
        </control>
      </mc:Choice>
      <mc:Fallback>
        <control shapeId="7347" r:id="rId67" name="cmbSlot13"/>
      </mc:Fallback>
    </mc:AlternateContent>
    <mc:AlternateContent xmlns:mc="http://schemas.openxmlformats.org/markup-compatibility/2006">
      <mc:Choice Requires="x14">
        <control shapeId="7346" r:id="rId68" name="cmbSlot12">
          <controlPr defaultSize="0" autoLine="0" linkedCell="$AH$45" r:id="rId7">
            <anchor>
              <from>
                <xdr:col>43</xdr:col>
                <xdr:colOff>771525</xdr:colOff>
                <xdr:row>4</xdr:row>
                <xdr:rowOff>28575</xdr:rowOff>
              </from>
              <to>
                <xdr:col>44</xdr:col>
                <xdr:colOff>628650</xdr:colOff>
                <xdr:row>5</xdr:row>
                <xdr:rowOff>28575</xdr:rowOff>
              </to>
            </anchor>
          </controlPr>
        </control>
      </mc:Choice>
      <mc:Fallback>
        <control shapeId="7346" r:id="rId68" name="cmbSlot12"/>
      </mc:Fallback>
    </mc:AlternateContent>
    <mc:AlternateContent xmlns:mc="http://schemas.openxmlformats.org/markup-compatibility/2006">
      <mc:Choice Requires="x14">
        <control shapeId="7345" r:id="rId69" name="cmbSlot11">
          <controlPr defaultSize="0" autoLine="0" linkedCell="$AH$44" listFillRange="Temp!$J$4:$L$1200" r:id="rId66">
            <anchor>
              <from>
                <xdr:col>43</xdr:col>
                <xdr:colOff>771525</xdr:colOff>
                <xdr:row>3</xdr:row>
                <xdr:rowOff>28575</xdr:rowOff>
              </from>
              <to>
                <xdr:col>44</xdr:col>
                <xdr:colOff>628650</xdr:colOff>
                <xdr:row>4</xdr:row>
                <xdr:rowOff>28575</xdr:rowOff>
              </to>
            </anchor>
          </controlPr>
        </control>
      </mc:Choice>
      <mc:Fallback>
        <control shapeId="7345" r:id="rId69" name="cmbSlot11"/>
      </mc:Fallback>
    </mc:AlternateContent>
    <mc:AlternateContent xmlns:mc="http://schemas.openxmlformats.org/markup-compatibility/2006">
      <mc:Choice Requires="x14">
        <control shapeId="7344" r:id="rId70" name="cmbSlot10">
          <controlPr defaultSize="0" autoLine="0" linkedCell="$AH$43" listFillRange="Temp!$J$4:$L$1200" r:id="rId66">
            <anchor>
              <from>
                <xdr:col>43</xdr:col>
                <xdr:colOff>771525</xdr:colOff>
                <xdr:row>2</xdr:row>
                <xdr:rowOff>28575</xdr:rowOff>
              </from>
              <to>
                <xdr:col>44</xdr:col>
                <xdr:colOff>628650</xdr:colOff>
                <xdr:row>3</xdr:row>
                <xdr:rowOff>28575</xdr:rowOff>
              </to>
            </anchor>
          </controlPr>
        </control>
      </mc:Choice>
      <mc:Fallback>
        <control shapeId="7344" r:id="rId70" name="cmbSlot10"/>
      </mc:Fallback>
    </mc:AlternateContent>
    <mc:AlternateContent xmlns:mc="http://schemas.openxmlformats.org/markup-compatibility/2006">
      <mc:Choice Requires="x14">
        <control shapeId="7343" r:id="rId71" name="cmbSlot9">
          <controlPr defaultSize="0" autoLine="0" autoPict="0" linkedCell="$AH$42" listFillRange="Temp!$AR$4:$AS$600" r:id="rId72">
            <anchor>
              <from>
                <xdr:col>43</xdr:col>
                <xdr:colOff>771525</xdr:colOff>
                <xdr:row>1</xdr:row>
                <xdr:rowOff>38100</xdr:rowOff>
              </from>
              <to>
                <xdr:col>44</xdr:col>
                <xdr:colOff>628650</xdr:colOff>
                <xdr:row>2</xdr:row>
                <xdr:rowOff>38100</xdr:rowOff>
              </to>
            </anchor>
          </controlPr>
        </control>
      </mc:Choice>
      <mc:Fallback>
        <control shapeId="7343" r:id="rId71" name="cmbSlot9"/>
      </mc:Fallback>
    </mc:AlternateContent>
    <mc:AlternateContent xmlns:mc="http://schemas.openxmlformats.org/markup-compatibility/2006">
      <mc:Choice Requires="x14">
        <control shapeId="7342" r:id="rId73" name="cmbSlot8">
          <controlPr defaultSize="0" autoLine="0" linkedCell="$AH$41" r:id="rId7">
            <anchor>
              <from>
                <xdr:col>41</xdr:col>
                <xdr:colOff>1057275</xdr:colOff>
                <xdr:row>8</xdr:row>
                <xdr:rowOff>28575</xdr:rowOff>
              </from>
              <to>
                <xdr:col>42</xdr:col>
                <xdr:colOff>914400</xdr:colOff>
                <xdr:row>9</xdr:row>
                <xdr:rowOff>28575</xdr:rowOff>
              </to>
            </anchor>
          </controlPr>
        </control>
      </mc:Choice>
      <mc:Fallback>
        <control shapeId="7342" r:id="rId73" name="cmbSlot8"/>
      </mc:Fallback>
    </mc:AlternateContent>
    <mc:AlternateContent xmlns:mc="http://schemas.openxmlformats.org/markup-compatibility/2006">
      <mc:Choice Requires="x14">
        <control shapeId="7341" r:id="rId74" name="cmbSlot7">
          <controlPr defaultSize="0" autoLine="0" linkedCell="$AH$40" r:id="rId7">
            <anchor>
              <from>
                <xdr:col>41</xdr:col>
                <xdr:colOff>1057275</xdr:colOff>
                <xdr:row>7</xdr:row>
                <xdr:rowOff>28575</xdr:rowOff>
              </from>
              <to>
                <xdr:col>42</xdr:col>
                <xdr:colOff>914400</xdr:colOff>
                <xdr:row>8</xdr:row>
                <xdr:rowOff>28575</xdr:rowOff>
              </to>
            </anchor>
          </controlPr>
        </control>
      </mc:Choice>
      <mc:Fallback>
        <control shapeId="7341" r:id="rId74" name="cmbSlot7"/>
      </mc:Fallback>
    </mc:AlternateContent>
    <mc:AlternateContent xmlns:mc="http://schemas.openxmlformats.org/markup-compatibility/2006">
      <mc:Choice Requires="x14">
        <control shapeId="7340" r:id="rId75" name="cmbSlot6">
          <controlPr defaultSize="0" autoLine="0" linkedCell="$AH$39" r:id="rId76">
            <anchor>
              <from>
                <xdr:col>41</xdr:col>
                <xdr:colOff>1057275</xdr:colOff>
                <xdr:row>6</xdr:row>
                <xdr:rowOff>28575</xdr:rowOff>
              </from>
              <to>
                <xdr:col>42</xdr:col>
                <xdr:colOff>914400</xdr:colOff>
                <xdr:row>7</xdr:row>
                <xdr:rowOff>28575</xdr:rowOff>
              </to>
            </anchor>
          </controlPr>
        </control>
      </mc:Choice>
      <mc:Fallback>
        <control shapeId="7340" r:id="rId75" name="cmbSlot6"/>
      </mc:Fallback>
    </mc:AlternateContent>
    <mc:AlternateContent xmlns:mc="http://schemas.openxmlformats.org/markup-compatibility/2006">
      <mc:Choice Requires="x14">
        <control shapeId="7339" r:id="rId77" name="cmbSlot5">
          <controlPr defaultSize="0" autoLine="0" linkedCell="$AH$38" listFillRange="Temp!$J$4:$L$300" r:id="rId78">
            <anchor>
              <from>
                <xdr:col>41</xdr:col>
                <xdr:colOff>1057275</xdr:colOff>
                <xdr:row>5</xdr:row>
                <xdr:rowOff>28575</xdr:rowOff>
              </from>
              <to>
                <xdr:col>42</xdr:col>
                <xdr:colOff>914400</xdr:colOff>
                <xdr:row>6</xdr:row>
                <xdr:rowOff>28575</xdr:rowOff>
              </to>
            </anchor>
          </controlPr>
        </control>
      </mc:Choice>
      <mc:Fallback>
        <control shapeId="7339" r:id="rId77" name="cmbSlot5"/>
      </mc:Fallback>
    </mc:AlternateContent>
    <mc:AlternateContent xmlns:mc="http://schemas.openxmlformats.org/markup-compatibility/2006">
      <mc:Choice Requires="x14">
        <control shapeId="7336" r:id="rId79" name="cmbSlot2">
          <controlPr defaultSize="0" autoLine="0" linkedCell="$AH$35" r:id="rId80">
            <anchor>
              <from>
                <xdr:col>41</xdr:col>
                <xdr:colOff>1057275</xdr:colOff>
                <xdr:row>2</xdr:row>
                <xdr:rowOff>28575</xdr:rowOff>
              </from>
              <to>
                <xdr:col>42</xdr:col>
                <xdr:colOff>914400</xdr:colOff>
                <xdr:row>3</xdr:row>
                <xdr:rowOff>28575</xdr:rowOff>
              </to>
            </anchor>
          </controlPr>
        </control>
      </mc:Choice>
      <mc:Fallback>
        <control shapeId="7336" r:id="rId79" name="cmbSlot2"/>
      </mc:Fallback>
    </mc:AlternateContent>
    <mc:AlternateContent xmlns:mc="http://schemas.openxmlformats.org/markup-compatibility/2006">
      <mc:Choice Requires="x14">
        <control shapeId="7335" r:id="rId81" name="cmbSlot1">
          <controlPr defaultSize="0" autoLine="0" linkedCell="$AH$34" listFillRange="Temp!$B$3:$C$9" r:id="rId82">
            <anchor>
              <from>
                <xdr:col>41</xdr:col>
                <xdr:colOff>1057275</xdr:colOff>
                <xdr:row>1</xdr:row>
                <xdr:rowOff>28575</xdr:rowOff>
              </from>
              <to>
                <xdr:col>42</xdr:col>
                <xdr:colOff>914400</xdr:colOff>
                <xdr:row>2</xdr:row>
                <xdr:rowOff>28575</xdr:rowOff>
              </to>
            </anchor>
          </controlPr>
        </control>
      </mc:Choice>
      <mc:Fallback>
        <control shapeId="7335" r:id="rId81" name="cmbSlot1"/>
      </mc:Fallback>
    </mc:AlternateContent>
    <mc:AlternateContent xmlns:mc="http://schemas.openxmlformats.org/markup-compatibility/2006">
      <mc:Choice Requires="x14">
        <control shapeId="7311" r:id="rId83" name="cmdAdmin">
          <controlPr defaultSize="0" disabled="1" autoLine="0" r:id="rId84">
            <anchor moveWithCells="1">
              <from>
                <xdr:col>32</xdr:col>
                <xdr:colOff>114300</xdr:colOff>
                <xdr:row>6</xdr:row>
                <xdr:rowOff>19050</xdr:rowOff>
              </from>
              <to>
                <xdr:col>32</xdr:col>
                <xdr:colOff>857250</xdr:colOff>
                <xdr:row>7</xdr:row>
                <xdr:rowOff>152400</xdr:rowOff>
              </to>
            </anchor>
          </controlPr>
        </control>
      </mc:Choice>
      <mc:Fallback>
        <control shapeId="7311" r:id="rId83" name="cmdAdmin"/>
      </mc:Fallback>
    </mc:AlternateContent>
    <mc:AlternateContent xmlns:mc="http://schemas.openxmlformats.org/markup-compatibility/2006">
      <mc:Choice Requires="x14">
        <control shapeId="7273" r:id="rId85" name="TextBox56">
          <controlPr defaultSize="0" autoLine="0" linkedCell="$AF$65" r:id="rId86">
            <anchor>
              <from>
                <xdr:col>46</xdr:col>
                <xdr:colOff>400050</xdr:colOff>
                <xdr:row>8</xdr:row>
                <xdr:rowOff>47625</xdr:rowOff>
              </from>
              <to>
                <xdr:col>47</xdr:col>
                <xdr:colOff>238125</xdr:colOff>
                <xdr:row>9</xdr:row>
                <xdr:rowOff>19050</xdr:rowOff>
              </to>
            </anchor>
          </controlPr>
        </control>
      </mc:Choice>
      <mc:Fallback>
        <control shapeId="7273" r:id="rId85" name="TextBox56"/>
      </mc:Fallback>
    </mc:AlternateContent>
    <mc:AlternateContent xmlns:mc="http://schemas.openxmlformats.org/markup-compatibility/2006">
      <mc:Choice Requires="x14">
        <control shapeId="7272" r:id="rId87" name="TextBox55">
          <controlPr defaultSize="0" autoLine="0" linkedCell="$AF$64" r:id="rId88">
            <anchor>
              <from>
                <xdr:col>46</xdr:col>
                <xdr:colOff>400050</xdr:colOff>
                <xdr:row>7</xdr:row>
                <xdr:rowOff>47625</xdr:rowOff>
              </from>
              <to>
                <xdr:col>47</xdr:col>
                <xdr:colOff>238125</xdr:colOff>
                <xdr:row>8</xdr:row>
                <xdr:rowOff>19050</xdr:rowOff>
              </to>
            </anchor>
          </controlPr>
        </control>
      </mc:Choice>
      <mc:Fallback>
        <control shapeId="7272" r:id="rId87" name="TextBox55"/>
      </mc:Fallback>
    </mc:AlternateContent>
    <mc:AlternateContent xmlns:mc="http://schemas.openxmlformats.org/markup-compatibility/2006">
      <mc:Choice Requires="x14">
        <control shapeId="7271" r:id="rId89" name="TextBox54">
          <controlPr defaultSize="0" autoLine="0" linkedCell="$AF$63" r:id="rId90">
            <anchor>
              <from>
                <xdr:col>46</xdr:col>
                <xdr:colOff>400050</xdr:colOff>
                <xdr:row>6</xdr:row>
                <xdr:rowOff>47625</xdr:rowOff>
              </from>
              <to>
                <xdr:col>47</xdr:col>
                <xdr:colOff>238125</xdr:colOff>
                <xdr:row>7</xdr:row>
                <xdr:rowOff>19050</xdr:rowOff>
              </to>
            </anchor>
          </controlPr>
        </control>
      </mc:Choice>
      <mc:Fallback>
        <control shapeId="7271" r:id="rId89" name="TextBox54"/>
      </mc:Fallback>
    </mc:AlternateContent>
    <mc:AlternateContent xmlns:mc="http://schemas.openxmlformats.org/markup-compatibility/2006">
      <mc:Choice Requires="x14">
        <control shapeId="7270" r:id="rId91" name="TextBox53">
          <controlPr defaultSize="0" autoLine="0" linkedCell="$AF$62" r:id="rId92">
            <anchor>
              <from>
                <xdr:col>46</xdr:col>
                <xdr:colOff>400050</xdr:colOff>
                <xdr:row>5</xdr:row>
                <xdr:rowOff>47625</xdr:rowOff>
              </from>
              <to>
                <xdr:col>47</xdr:col>
                <xdr:colOff>238125</xdr:colOff>
                <xdr:row>6</xdr:row>
                <xdr:rowOff>19050</xdr:rowOff>
              </to>
            </anchor>
          </controlPr>
        </control>
      </mc:Choice>
      <mc:Fallback>
        <control shapeId="7270" r:id="rId91" name="TextBox53"/>
      </mc:Fallback>
    </mc:AlternateContent>
    <mc:AlternateContent xmlns:mc="http://schemas.openxmlformats.org/markup-compatibility/2006">
      <mc:Choice Requires="x14">
        <control shapeId="7269" r:id="rId93" name="TextBox52">
          <controlPr defaultSize="0" autoLine="0" linkedCell="$AF$61" r:id="rId94">
            <anchor>
              <from>
                <xdr:col>46</xdr:col>
                <xdr:colOff>400050</xdr:colOff>
                <xdr:row>4</xdr:row>
                <xdr:rowOff>47625</xdr:rowOff>
              </from>
              <to>
                <xdr:col>47</xdr:col>
                <xdr:colOff>238125</xdr:colOff>
                <xdr:row>5</xdr:row>
                <xdr:rowOff>19050</xdr:rowOff>
              </to>
            </anchor>
          </controlPr>
        </control>
      </mc:Choice>
      <mc:Fallback>
        <control shapeId="7269" r:id="rId93" name="TextBox52"/>
      </mc:Fallback>
    </mc:AlternateContent>
    <mc:AlternateContent xmlns:mc="http://schemas.openxmlformats.org/markup-compatibility/2006">
      <mc:Choice Requires="x14">
        <control shapeId="7268" r:id="rId95" name="TextBox51">
          <controlPr defaultSize="0" autoLine="0" linkedCell="$AF$60" r:id="rId96">
            <anchor>
              <from>
                <xdr:col>46</xdr:col>
                <xdr:colOff>400050</xdr:colOff>
                <xdr:row>3</xdr:row>
                <xdr:rowOff>47625</xdr:rowOff>
              </from>
              <to>
                <xdr:col>47</xdr:col>
                <xdr:colOff>238125</xdr:colOff>
                <xdr:row>4</xdr:row>
                <xdr:rowOff>19050</xdr:rowOff>
              </to>
            </anchor>
          </controlPr>
        </control>
      </mc:Choice>
      <mc:Fallback>
        <control shapeId="7268" r:id="rId95" name="TextBox51"/>
      </mc:Fallback>
    </mc:AlternateContent>
    <mc:AlternateContent xmlns:mc="http://schemas.openxmlformats.org/markup-compatibility/2006">
      <mc:Choice Requires="x14">
        <control shapeId="7267" r:id="rId97" name="TextBox50">
          <controlPr defaultSize="0" autoLine="0" linkedCell="$AF$59" r:id="rId98">
            <anchor>
              <from>
                <xdr:col>46</xdr:col>
                <xdr:colOff>400050</xdr:colOff>
                <xdr:row>2</xdr:row>
                <xdr:rowOff>47625</xdr:rowOff>
              </from>
              <to>
                <xdr:col>47</xdr:col>
                <xdr:colOff>238125</xdr:colOff>
                <xdr:row>3</xdr:row>
                <xdr:rowOff>19050</xdr:rowOff>
              </to>
            </anchor>
          </controlPr>
        </control>
      </mc:Choice>
      <mc:Fallback>
        <control shapeId="7267" r:id="rId97" name="TextBox50"/>
      </mc:Fallback>
    </mc:AlternateContent>
    <mc:AlternateContent xmlns:mc="http://schemas.openxmlformats.org/markup-compatibility/2006">
      <mc:Choice Requires="x14">
        <control shapeId="7266" r:id="rId99" name="TextBox49">
          <controlPr defaultSize="0" autoLine="0" linkedCell="$AF$58" r:id="rId100">
            <anchor>
              <from>
                <xdr:col>46</xdr:col>
                <xdr:colOff>400050</xdr:colOff>
                <xdr:row>1</xdr:row>
                <xdr:rowOff>47625</xdr:rowOff>
              </from>
              <to>
                <xdr:col>47</xdr:col>
                <xdr:colOff>238125</xdr:colOff>
                <xdr:row>2</xdr:row>
                <xdr:rowOff>19050</xdr:rowOff>
              </to>
            </anchor>
          </controlPr>
        </control>
      </mc:Choice>
      <mc:Fallback>
        <control shapeId="7266" r:id="rId99" name="TextBox49"/>
      </mc:Fallback>
    </mc:AlternateContent>
    <mc:AlternateContent xmlns:mc="http://schemas.openxmlformats.org/markup-compatibility/2006">
      <mc:Choice Requires="x14">
        <control shapeId="7262" r:id="rId101" name="TextBoxTITLE">
          <controlPr defaultSize="0" autoLine="0" r:id="rId102">
            <anchor>
              <from>
                <xdr:col>41</xdr:col>
                <xdr:colOff>66675</xdr:colOff>
                <xdr:row>0</xdr:row>
                <xdr:rowOff>28575</xdr:rowOff>
              </from>
              <to>
                <xdr:col>47</xdr:col>
                <xdr:colOff>1171575</xdr:colOff>
                <xdr:row>1</xdr:row>
                <xdr:rowOff>0</xdr:rowOff>
              </to>
            </anchor>
          </controlPr>
        </control>
      </mc:Choice>
      <mc:Fallback>
        <control shapeId="7262" r:id="rId101" name="TextBoxTITLE"/>
      </mc:Fallback>
    </mc:AlternateContent>
    <mc:AlternateContent xmlns:mc="http://schemas.openxmlformats.org/markup-compatibility/2006">
      <mc:Choice Requires="x14">
        <control shapeId="7244" r:id="rId103" name="TextBox40">
          <controlPr defaultSize="0" autoLine="0" linkedCell="$AF$57" r:id="rId104">
            <anchor>
              <from>
                <xdr:col>44</xdr:col>
                <xdr:colOff>647700</xdr:colOff>
                <xdr:row>8</xdr:row>
                <xdr:rowOff>38100</xdr:rowOff>
              </from>
              <to>
                <xdr:col>45</xdr:col>
                <xdr:colOff>485775</xdr:colOff>
                <xdr:row>9</xdr:row>
                <xdr:rowOff>9525</xdr:rowOff>
              </to>
            </anchor>
          </controlPr>
        </control>
      </mc:Choice>
      <mc:Fallback>
        <control shapeId="7244" r:id="rId103" name="TextBox40"/>
      </mc:Fallback>
    </mc:AlternateContent>
    <mc:AlternateContent xmlns:mc="http://schemas.openxmlformats.org/markup-compatibility/2006">
      <mc:Choice Requires="x14">
        <control shapeId="7243" r:id="rId105" name="TextBox39">
          <controlPr defaultSize="0" autoLine="0" linkedCell="$AF$56" r:id="rId106">
            <anchor>
              <from>
                <xdr:col>44</xdr:col>
                <xdr:colOff>647700</xdr:colOff>
                <xdr:row>7</xdr:row>
                <xdr:rowOff>38100</xdr:rowOff>
              </from>
              <to>
                <xdr:col>45</xdr:col>
                <xdr:colOff>485775</xdr:colOff>
                <xdr:row>8</xdr:row>
                <xdr:rowOff>9525</xdr:rowOff>
              </to>
            </anchor>
          </controlPr>
        </control>
      </mc:Choice>
      <mc:Fallback>
        <control shapeId="7243" r:id="rId105" name="TextBox39"/>
      </mc:Fallback>
    </mc:AlternateContent>
    <mc:AlternateContent xmlns:mc="http://schemas.openxmlformats.org/markup-compatibility/2006">
      <mc:Choice Requires="x14">
        <control shapeId="7242" r:id="rId107" name="TextBox38">
          <controlPr defaultSize="0" autoLine="0" linkedCell="$AF$55" r:id="rId108">
            <anchor>
              <from>
                <xdr:col>44</xdr:col>
                <xdr:colOff>647700</xdr:colOff>
                <xdr:row>6</xdr:row>
                <xdr:rowOff>38100</xdr:rowOff>
              </from>
              <to>
                <xdr:col>45</xdr:col>
                <xdr:colOff>485775</xdr:colOff>
                <xdr:row>7</xdr:row>
                <xdr:rowOff>9525</xdr:rowOff>
              </to>
            </anchor>
          </controlPr>
        </control>
      </mc:Choice>
      <mc:Fallback>
        <control shapeId="7242" r:id="rId107" name="TextBox38"/>
      </mc:Fallback>
    </mc:AlternateContent>
    <mc:AlternateContent xmlns:mc="http://schemas.openxmlformats.org/markup-compatibility/2006">
      <mc:Choice Requires="x14">
        <control shapeId="7241" r:id="rId109" name="TextBox37">
          <controlPr defaultSize="0" autoLine="0" linkedCell="$AF$54" r:id="rId110">
            <anchor>
              <from>
                <xdr:col>44</xdr:col>
                <xdr:colOff>647700</xdr:colOff>
                <xdr:row>5</xdr:row>
                <xdr:rowOff>38100</xdr:rowOff>
              </from>
              <to>
                <xdr:col>45</xdr:col>
                <xdr:colOff>485775</xdr:colOff>
                <xdr:row>6</xdr:row>
                <xdr:rowOff>9525</xdr:rowOff>
              </to>
            </anchor>
          </controlPr>
        </control>
      </mc:Choice>
      <mc:Fallback>
        <control shapeId="7241" r:id="rId109" name="TextBox37"/>
      </mc:Fallback>
    </mc:AlternateContent>
    <mc:AlternateContent xmlns:mc="http://schemas.openxmlformats.org/markup-compatibility/2006">
      <mc:Choice Requires="x14">
        <control shapeId="7240" r:id="rId111" name="TextBox36">
          <controlPr defaultSize="0" autoLine="0" linkedCell="$AF$53" r:id="rId112">
            <anchor>
              <from>
                <xdr:col>44</xdr:col>
                <xdr:colOff>647700</xdr:colOff>
                <xdr:row>4</xdr:row>
                <xdr:rowOff>38100</xdr:rowOff>
              </from>
              <to>
                <xdr:col>45</xdr:col>
                <xdr:colOff>485775</xdr:colOff>
                <xdr:row>5</xdr:row>
                <xdr:rowOff>9525</xdr:rowOff>
              </to>
            </anchor>
          </controlPr>
        </control>
      </mc:Choice>
      <mc:Fallback>
        <control shapeId="7240" r:id="rId111" name="TextBox36"/>
      </mc:Fallback>
    </mc:AlternateContent>
    <mc:AlternateContent xmlns:mc="http://schemas.openxmlformats.org/markup-compatibility/2006">
      <mc:Choice Requires="x14">
        <control shapeId="7239" r:id="rId113" name="TextBox35">
          <controlPr defaultSize="0" autoLine="0" linkedCell="$AF$52" r:id="rId114">
            <anchor>
              <from>
                <xdr:col>44</xdr:col>
                <xdr:colOff>647700</xdr:colOff>
                <xdr:row>3</xdr:row>
                <xdr:rowOff>38100</xdr:rowOff>
              </from>
              <to>
                <xdr:col>45</xdr:col>
                <xdr:colOff>485775</xdr:colOff>
                <xdr:row>4</xdr:row>
                <xdr:rowOff>9525</xdr:rowOff>
              </to>
            </anchor>
          </controlPr>
        </control>
      </mc:Choice>
      <mc:Fallback>
        <control shapeId="7239" r:id="rId113" name="TextBox35"/>
      </mc:Fallback>
    </mc:AlternateContent>
    <mc:AlternateContent xmlns:mc="http://schemas.openxmlformats.org/markup-compatibility/2006">
      <mc:Choice Requires="x14">
        <control shapeId="7238" r:id="rId115" name="TextBox34">
          <controlPr defaultSize="0" autoLine="0" linkedCell="$AF$51" r:id="rId116">
            <anchor>
              <from>
                <xdr:col>44</xdr:col>
                <xdr:colOff>647700</xdr:colOff>
                <xdr:row>2</xdr:row>
                <xdr:rowOff>38100</xdr:rowOff>
              </from>
              <to>
                <xdr:col>45</xdr:col>
                <xdr:colOff>485775</xdr:colOff>
                <xdr:row>3</xdr:row>
                <xdr:rowOff>9525</xdr:rowOff>
              </to>
            </anchor>
          </controlPr>
        </control>
      </mc:Choice>
      <mc:Fallback>
        <control shapeId="7238" r:id="rId115" name="TextBox34"/>
      </mc:Fallback>
    </mc:AlternateContent>
    <mc:AlternateContent xmlns:mc="http://schemas.openxmlformats.org/markup-compatibility/2006">
      <mc:Choice Requires="x14">
        <control shapeId="7237" r:id="rId117" name="TextBox33">
          <controlPr defaultSize="0" autoLine="0" linkedCell="$AF$50" r:id="rId118">
            <anchor>
              <from>
                <xdr:col>44</xdr:col>
                <xdr:colOff>647700</xdr:colOff>
                <xdr:row>1</xdr:row>
                <xdr:rowOff>38100</xdr:rowOff>
              </from>
              <to>
                <xdr:col>45</xdr:col>
                <xdr:colOff>485775</xdr:colOff>
                <xdr:row>2</xdr:row>
                <xdr:rowOff>9525</xdr:rowOff>
              </to>
            </anchor>
          </controlPr>
        </control>
      </mc:Choice>
      <mc:Fallback>
        <control shapeId="7237" r:id="rId117" name="TextBox33"/>
      </mc:Fallback>
    </mc:AlternateContent>
    <mc:AlternateContent xmlns:mc="http://schemas.openxmlformats.org/markup-compatibility/2006">
      <mc:Choice Requires="x14">
        <control shapeId="7228" r:id="rId119" name="TextBox24">
          <controlPr defaultSize="0" autoLine="0" linkedCell="$AF$49" r:id="rId120">
            <anchor>
              <from>
                <xdr:col>42</xdr:col>
                <xdr:colOff>914400</xdr:colOff>
                <xdr:row>8</xdr:row>
                <xdr:rowOff>38100</xdr:rowOff>
              </from>
              <to>
                <xdr:col>43</xdr:col>
                <xdr:colOff>752475</xdr:colOff>
                <xdr:row>9</xdr:row>
                <xdr:rowOff>9525</xdr:rowOff>
              </to>
            </anchor>
          </controlPr>
        </control>
      </mc:Choice>
      <mc:Fallback>
        <control shapeId="7228" r:id="rId119" name="TextBox24"/>
      </mc:Fallback>
    </mc:AlternateContent>
    <mc:AlternateContent xmlns:mc="http://schemas.openxmlformats.org/markup-compatibility/2006">
      <mc:Choice Requires="x14">
        <control shapeId="7227" r:id="rId121" name="TextBox23">
          <controlPr defaultSize="0" autoLine="0" linkedCell="$AF$48" r:id="rId122">
            <anchor>
              <from>
                <xdr:col>42</xdr:col>
                <xdr:colOff>914400</xdr:colOff>
                <xdr:row>7</xdr:row>
                <xdr:rowOff>38100</xdr:rowOff>
              </from>
              <to>
                <xdr:col>43</xdr:col>
                <xdr:colOff>752475</xdr:colOff>
                <xdr:row>8</xdr:row>
                <xdr:rowOff>9525</xdr:rowOff>
              </to>
            </anchor>
          </controlPr>
        </control>
      </mc:Choice>
      <mc:Fallback>
        <control shapeId="7227" r:id="rId121" name="TextBox23"/>
      </mc:Fallback>
    </mc:AlternateContent>
    <mc:AlternateContent xmlns:mc="http://schemas.openxmlformats.org/markup-compatibility/2006">
      <mc:Choice Requires="x14">
        <control shapeId="7226" r:id="rId123" name="TextBox22">
          <controlPr defaultSize="0" autoLine="0" linkedCell="$AF$47" r:id="rId124">
            <anchor>
              <from>
                <xdr:col>42</xdr:col>
                <xdr:colOff>914400</xdr:colOff>
                <xdr:row>6</xdr:row>
                <xdr:rowOff>38100</xdr:rowOff>
              </from>
              <to>
                <xdr:col>43</xdr:col>
                <xdr:colOff>752475</xdr:colOff>
                <xdr:row>7</xdr:row>
                <xdr:rowOff>9525</xdr:rowOff>
              </to>
            </anchor>
          </controlPr>
        </control>
      </mc:Choice>
      <mc:Fallback>
        <control shapeId="7226" r:id="rId123" name="TextBox22"/>
      </mc:Fallback>
    </mc:AlternateContent>
    <mc:AlternateContent xmlns:mc="http://schemas.openxmlformats.org/markup-compatibility/2006">
      <mc:Choice Requires="x14">
        <control shapeId="7225" r:id="rId125" name="TextBox21">
          <controlPr defaultSize="0" autoLine="0" linkedCell="$AF$46" r:id="rId126">
            <anchor>
              <from>
                <xdr:col>42</xdr:col>
                <xdr:colOff>914400</xdr:colOff>
                <xdr:row>5</xdr:row>
                <xdr:rowOff>38100</xdr:rowOff>
              </from>
              <to>
                <xdr:col>43</xdr:col>
                <xdr:colOff>752475</xdr:colOff>
                <xdr:row>6</xdr:row>
                <xdr:rowOff>9525</xdr:rowOff>
              </to>
            </anchor>
          </controlPr>
        </control>
      </mc:Choice>
      <mc:Fallback>
        <control shapeId="7225" r:id="rId125" name="TextBox21"/>
      </mc:Fallback>
    </mc:AlternateContent>
    <mc:AlternateContent xmlns:mc="http://schemas.openxmlformats.org/markup-compatibility/2006">
      <mc:Choice Requires="x14">
        <control shapeId="7224" r:id="rId127" name="TextBox20">
          <controlPr defaultSize="0" autoLine="0" linkedCell="$AF$45" r:id="rId128">
            <anchor>
              <from>
                <xdr:col>42</xdr:col>
                <xdr:colOff>914400</xdr:colOff>
                <xdr:row>4</xdr:row>
                <xdr:rowOff>38100</xdr:rowOff>
              </from>
              <to>
                <xdr:col>43</xdr:col>
                <xdr:colOff>752475</xdr:colOff>
                <xdr:row>5</xdr:row>
                <xdr:rowOff>9525</xdr:rowOff>
              </to>
            </anchor>
          </controlPr>
        </control>
      </mc:Choice>
      <mc:Fallback>
        <control shapeId="7224" r:id="rId127" name="TextBox20"/>
      </mc:Fallback>
    </mc:AlternateContent>
    <mc:AlternateContent xmlns:mc="http://schemas.openxmlformats.org/markup-compatibility/2006">
      <mc:Choice Requires="x14">
        <control shapeId="7223" r:id="rId129" name="TextBox19">
          <controlPr defaultSize="0" autoLine="0" linkedCell="$AF$44" r:id="rId130">
            <anchor>
              <from>
                <xdr:col>42</xdr:col>
                <xdr:colOff>914400</xdr:colOff>
                <xdr:row>3</xdr:row>
                <xdr:rowOff>38100</xdr:rowOff>
              </from>
              <to>
                <xdr:col>43</xdr:col>
                <xdr:colOff>752475</xdr:colOff>
                <xdr:row>4</xdr:row>
                <xdr:rowOff>9525</xdr:rowOff>
              </to>
            </anchor>
          </controlPr>
        </control>
      </mc:Choice>
      <mc:Fallback>
        <control shapeId="7223" r:id="rId129" name="TextBox19"/>
      </mc:Fallback>
    </mc:AlternateContent>
    <mc:AlternateContent xmlns:mc="http://schemas.openxmlformats.org/markup-compatibility/2006">
      <mc:Choice Requires="x14">
        <control shapeId="7222" r:id="rId131" name="TextBox18">
          <controlPr defaultSize="0" autoLine="0" linkedCell="$AF$43" r:id="rId132">
            <anchor>
              <from>
                <xdr:col>42</xdr:col>
                <xdr:colOff>914400</xdr:colOff>
                <xdr:row>2</xdr:row>
                <xdr:rowOff>38100</xdr:rowOff>
              </from>
              <to>
                <xdr:col>43</xdr:col>
                <xdr:colOff>752475</xdr:colOff>
                <xdr:row>3</xdr:row>
                <xdr:rowOff>9525</xdr:rowOff>
              </to>
            </anchor>
          </controlPr>
        </control>
      </mc:Choice>
      <mc:Fallback>
        <control shapeId="7222" r:id="rId131" name="TextBox18"/>
      </mc:Fallback>
    </mc:AlternateContent>
    <mc:AlternateContent xmlns:mc="http://schemas.openxmlformats.org/markup-compatibility/2006">
      <mc:Choice Requires="x14">
        <control shapeId="7221" r:id="rId133" name="TextBox17">
          <controlPr defaultSize="0" autoLine="0" linkedCell="$AF$42" r:id="rId134">
            <anchor>
              <from>
                <xdr:col>42</xdr:col>
                <xdr:colOff>914400</xdr:colOff>
                <xdr:row>1</xdr:row>
                <xdr:rowOff>38100</xdr:rowOff>
              </from>
              <to>
                <xdr:col>43</xdr:col>
                <xdr:colOff>752475</xdr:colOff>
                <xdr:row>2</xdr:row>
                <xdr:rowOff>9525</xdr:rowOff>
              </to>
            </anchor>
          </controlPr>
        </control>
      </mc:Choice>
      <mc:Fallback>
        <control shapeId="7221" r:id="rId133" name="TextBox17"/>
      </mc:Fallback>
    </mc:AlternateContent>
    <mc:AlternateContent xmlns:mc="http://schemas.openxmlformats.org/markup-compatibility/2006">
      <mc:Choice Requires="x14">
        <control shapeId="7212" r:id="rId135" name="TextBox8">
          <controlPr defaultSize="0" autoLine="0" linkedCell="$AF$41" r:id="rId136">
            <anchor>
              <from>
                <xdr:col>41</xdr:col>
                <xdr:colOff>0</xdr:colOff>
                <xdr:row>8</xdr:row>
                <xdr:rowOff>38100</xdr:rowOff>
              </from>
              <to>
                <xdr:col>41</xdr:col>
                <xdr:colOff>1019175</xdr:colOff>
                <xdr:row>9</xdr:row>
                <xdr:rowOff>9525</xdr:rowOff>
              </to>
            </anchor>
          </controlPr>
        </control>
      </mc:Choice>
      <mc:Fallback>
        <control shapeId="7212" r:id="rId135" name="TextBox8"/>
      </mc:Fallback>
    </mc:AlternateContent>
    <mc:AlternateContent xmlns:mc="http://schemas.openxmlformats.org/markup-compatibility/2006">
      <mc:Choice Requires="x14">
        <control shapeId="7211" r:id="rId137" name="TextBox7">
          <controlPr defaultSize="0" autoLine="0" linkedCell="$AF$40" r:id="rId138">
            <anchor>
              <from>
                <xdr:col>41</xdr:col>
                <xdr:colOff>0</xdr:colOff>
                <xdr:row>7</xdr:row>
                <xdr:rowOff>38100</xdr:rowOff>
              </from>
              <to>
                <xdr:col>41</xdr:col>
                <xdr:colOff>1019175</xdr:colOff>
                <xdr:row>8</xdr:row>
                <xdr:rowOff>9525</xdr:rowOff>
              </to>
            </anchor>
          </controlPr>
        </control>
      </mc:Choice>
      <mc:Fallback>
        <control shapeId="7211" r:id="rId137" name="TextBox7"/>
      </mc:Fallback>
    </mc:AlternateContent>
    <mc:AlternateContent xmlns:mc="http://schemas.openxmlformats.org/markup-compatibility/2006">
      <mc:Choice Requires="x14">
        <control shapeId="7210" r:id="rId139" name="TextBox6">
          <controlPr defaultSize="0" autoLine="0" linkedCell="$AF$39" r:id="rId140">
            <anchor>
              <from>
                <xdr:col>41</xdr:col>
                <xdr:colOff>0</xdr:colOff>
                <xdr:row>6</xdr:row>
                <xdr:rowOff>38100</xdr:rowOff>
              </from>
              <to>
                <xdr:col>41</xdr:col>
                <xdr:colOff>1019175</xdr:colOff>
                <xdr:row>7</xdr:row>
                <xdr:rowOff>9525</xdr:rowOff>
              </to>
            </anchor>
          </controlPr>
        </control>
      </mc:Choice>
      <mc:Fallback>
        <control shapeId="7210" r:id="rId139" name="TextBox6"/>
      </mc:Fallback>
    </mc:AlternateContent>
    <mc:AlternateContent xmlns:mc="http://schemas.openxmlformats.org/markup-compatibility/2006">
      <mc:Choice Requires="x14">
        <control shapeId="7209" r:id="rId141" name="TextBox5">
          <controlPr defaultSize="0" autoLine="0" linkedCell="$AF$38" r:id="rId142">
            <anchor>
              <from>
                <xdr:col>41</xdr:col>
                <xdr:colOff>0</xdr:colOff>
                <xdr:row>5</xdr:row>
                <xdr:rowOff>38100</xdr:rowOff>
              </from>
              <to>
                <xdr:col>41</xdr:col>
                <xdr:colOff>1019175</xdr:colOff>
                <xdr:row>6</xdr:row>
                <xdr:rowOff>9525</xdr:rowOff>
              </to>
            </anchor>
          </controlPr>
        </control>
      </mc:Choice>
      <mc:Fallback>
        <control shapeId="7209" r:id="rId141" name="TextBox5"/>
      </mc:Fallback>
    </mc:AlternateContent>
    <mc:AlternateContent xmlns:mc="http://schemas.openxmlformats.org/markup-compatibility/2006">
      <mc:Choice Requires="x14">
        <control shapeId="7208" r:id="rId143" name="TextBox4">
          <controlPr defaultSize="0" autoLine="0" linkedCell="$AF$37" r:id="rId144">
            <anchor>
              <from>
                <xdr:col>41</xdr:col>
                <xdr:colOff>0</xdr:colOff>
                <xdr:row>4</xdr:row>
                <xdr:rowOff>38100</xdr:rowOff>
              </from>
              <to>
                <xdr:col>41</xdr:col>
                <xdr:colOff>1019175</xdr:colOff>
                <xdr:row>5</xdr:row>
                <xdr:rowOff>9525</xdr:rowOff>
              </to>
            </anchor>
          </controlPr>
        </control>
      </mc:Choice>
      <mc:Fallback>
        <control shapeId="7208" r:id="rId143" name="TextBox4"/>
      </mc:Fallback>
    </mc:AlternateContent>
    <mc:AlternateContent xmlns:mc="http://schemas.openxmlformats.org/markup-compatibility/2006">
      <mc:Choice Requires="x14">
        <control shapeId="7207" r:id="rId145" name="TextBox3">
          <controlPr defaultSize="0" autoLine="0" linkedCell="$AF$36" r:id="rId146">
            <anchor>
              <from>
                <xdr:col>41</xdr:col>
                <xdr:colOff>0</xdr:colOff>
                <xdr:row>3</xdr:row>
                <xdr:rowOff>38100</xdr:rowOff>
              </from>
              <to>
                <xdr:col>41</xdr:col>
                <xdr:colOff>1019175</xdr:colOff>
                <xdr:row>4</xdr:row>
                <xdr:rowOff>9525</xdr:rowOff>
              </to>
            </anchor>
          </controlPr>
        </control>
      </mc:Choice>
      <mc:Fallback>
        <control shapeId="7207" r:id="rId145" name="TextBox3"/>
      </mc:Fallback>
    </mc:AlternateContent>
    <mc:AlternateContent xmlns:mc="http://schemas.openxmlformats.org/markup-compatibility/2006">
      <mc:Choice Requires="x14">
        <control shapeId="7206" r:id="rId147" name="TextBox2">
          <controlPr defaultSize="0" autoLine="0" linkedCell="$AF$35" r:id="rId148">
            <anchor>
              <from>
                <xdr:col>41</xdr:col>
                <xdr:colOff>0</xdr:colOff>
                <xdr:row>2</xdr:row>
                <xdr:rowOff>38100</xdr:rowOff>
              </from>
              <to>
                <xdr:col>41</xdr:col>
                <xdr:colOff>1019175</xdr:colOff>
                <xdr:row>3</xdr:row>
                <xdr:rowOff>9525</xdr:rowOff>
              </to>
            </anchor>
          </controlPr>
        </control>
      </mc:Choice>
      <mc:Fallback>
        <control shapeId="7206" r:id="rId147" name="TextBox2"/>
      </mc:Fallback>
    </mc:AlternateContent>
    <mc:AlternateContent xmlns:mc="http://schemas.openxmlformats.org/markup-compatibility/2006">
      <mc:Choice Requires="x14">
        <control shapeId="7203" r:id="rId149" name="TextBox1">
          <controlPr defaultSize="0" autoLine="0" linkedCell="$AF$34" r:id="rId150">
            <anchor>
              <from>
                <xdr:col>41</xdr:col>
                <xdr:colOff>0</xdr:colOff>
                <xdr:row>1</xdr:row>
                <xdr:rowOff>38100</xdr:rowOff>
              </from>
              <to>
                <xdr:col>41</xdr:col>
                <xdr:colOff>1019175</xdr:colOff>
                <xdr:row>2</xdr:row>
                <xdr:rowOff>9525</xdr:rowOff>
              </to>
            </anchor>
          </controlPr>
        </control>
      </mc:Choice>
      <mc:Fallback>
        <control shapeId="7203" r:id="rId149" name="TextBox1"/>
      </mc:Fallback>
    </mc:AlternateContent>
    <mc:AlternateContent xmlns:mc="http://schemas.openxmlformats.org/markup-compatibility/2006">
      <mc:Choice Requires="x14">
        <control shapeId="7182" r:id="rId151" name="cmdHide">
          <controlPr defaultSize="0" autoLine="0" r:id="rId152">
            <anchor moveWithCells="1">
              <from>
                <xdr:col>31</xdr:col>
                <xdr:colOff>628650</xdr:colOff>
                <xdr:row>6</xdr:row>
                <xdr:rowOff>19050</xdr:rowOff>
              </from>
              <to>
                <xdr:col>31</xdr:col>
                <xdr:colOff>1371600</xdr:colOff>
                <xdr:row>7</xdr:row>
                <xdr:rowOff>161925</xdr:rowOff>
              </to>
            </anchor>
          </controlPr>
        </control>
      </mc:Choice>
      <mc:Fallback>
        <control shapeId="7182" r:id="rId151" name="cmdHide"/>
      </mc:Fallback>
    </mc:AlternateContent>
    <mc:AlternateContent xmlns:mc="http://schemas.openxmlformats.org/markup-compatibility/2006">
      <mc:Choice Requires="x14">
        <control shapeId="7179" r:id="rId153" name="cmdComment">
          <controlPr defaultSize="0" autoLine="0" r:id="rId154">
            <anchor moveWithCells="1">
              <from>
                <xdr:col>29</xdr:col>
                <xdr:colOff>171450</xdr:colOff>
                <xdr:row>4</xdr:row>
                <xdr:rowOff>57150</xdr:rowOff>
              </from>
              <to>
                <xdr:col>31</xdr:col>
                <xdr:colOff>381000</xdr:colOff>
                <xdr:row>5</xdr:row>
                <xdr:rowOff>190500</xdr:rowOff>
              </to>
            </anchor>
          </controlPr>
        </control>
      </mc:Choice>
      <mc:Fallback>
        <control shapeId="7179" r:id="rId153" name="cmdComment"/>
      </mc:Fallback>
    </mc:AlternateContent>
    <mc:AlternateContent xmlns:mc="http://schemas.openxmlformats.org/markup-compatibility/2006">
      <mc:Choice Requires="x14">
        <control shapeId="7175" r:id="rId155" name="cmdReport">
          <controlPr defaultSize="0" autoLine="0" r:id="rId156">
            <anchor moveWithCells="1">
              <from>
                <xdr:col>29</xdr:col>
                <xdr:colOff>161925</xdr:colOff>
                <xdr:row>6</xdr:row>
                <xdr:rowOff>28575</xdr:rowOff>
              </from>
              <to>
                <xdr:col>31</xdr:col>
                <xdr:colOff>371475</xdr:colOff>
                <xdr:row>7</xdr:row>
                <xdr:rowOff>161925</xdr:rowOff>
              </to>
            </anchor>
          </controlPr>
        </control>
      </mc:Choice>
      <mc:Fallback>
        <control shapeId="7175" r:id="rId155" name="cmdReport"/>
      </mc:Fallback>
    </mc:AlternateContent>
    <mc:AlternateContent xmlns:mc="http://schemas.openxmlformats.org/markup-compatibility/2006">
      <mc:Choice Requires="x14">
        <control shapeId="7170" r:id="rId157" name="cmdDeliver">
          <controlPr defaultSize="0" autoLine="0" r:id="rId158">
            <anchor moveWithCells="1">
              <from>
                <xdr:col>31</xdr:col>
                <xdr:colOff>1143000</xdr:colOff>
                <xdr:row>0</xdr:row>
                <xdr:rowOff>152400</xdr:rowOff>
              </from>
              <to>
                <xdr:col>32</xdr:col>
                <xdr:colOff>390525</xdr:colOff>
                <xdr:row>2</xdr:row>
                <xdr:rowOff>57150</xdr:rowOff>
              </to>
            </anchor>
          </controlPr>
        </control>
      </mc:Choice>
      <mc:Fallback>
        <control shapeId="7170" r:id="rId157" name="cmdDeliver"/>
      </mc:Fallback>
    </mc:AlternateContent>
    <mc:AlternateContent xmlns:mc="http://schemas.openxmlformats.org/markup-compatibility/2006">
      <mc:Choice Requires="x14">
        <control shapeId="7169" r:id="rId159" name="cmdFetch">
          <controlPr defaultSize="0" autoLine="0" r:id="rId160">
            <anchor moveWithCells="1">
              <from>
                <xdr:col>31</xdr:col>
                <xdr:colOff>123825</xdr:colOff>
                <xdr:row>0</xdr:row>
                <xdr:rowOff>152400</xdr:rowOff>
              </from>
              <to>
                <xdr:col>31</xdr:col>
                <xdr:colOff>866775</xdr:colOff>
                <xdr:row>2</xdr:row>
                <xdr:rowOff>57150</xdr:rowOff>
              </to>
            </anchor>
          </controlPr>
        </control>
      </mc:Choice>
      <mc:Fallback>
        <control shapeId="7169" r:id="rId159" name="cmdFetch"/>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M164"/>
  <sheetViews>
    <sheetView topLeftCell="A10" workbookViewId="0">
      <selection activeCell="F25" sqref="F25"/>
    </sheetView>
  </sheetViews>
  <sheetFormatPr defaultColWidth="9.140625" defaultRowHeight="11.25" x14ac:dyDescent="0.2"/>
  <cols>
    <col min="1" max="1" width="25.140625" style="2" customWidth="1"/>
    <col min="2" max="2" width="12.85546875" style="2" bestFit="1" customWidth="1"/>
    <col min="3" max="3" width="15.140625" style="2" bestFit="1" customWidth="1"/>
    <col min="4" max="4" width="20" style="2" customWidth="1"/>
    <col min="5" max="5" width="11.85546875" style="2" bestFit="1" customWidth="1"/>
    <col min="6" max="6" width="14.28515625" style="2" bestFit="1" customWidth="1"/>
    <col min="7" max="7" width="11" style="2" bestFit="1" customWidth="1"/>
    <col min="8" max="8" width="11.140625" style="2" bestFit="1" customWidth="1"/>
    <col min="9" max="11" width="9.140625" style="2"/>
    <col min="12" max="12" width="19.5703125" style="2" customWidth="1"/>
    <col min="13" max="15" width="9.140625" style="2"/>
    <col min="16" max="16" width="12.85546875" style="2" bestFit="1" customWidth="1"/>
    <col min="17" max="17" width="11.5703125" style="2" bestFit="1" customWidth="1"/>
    <col min="18" max="18" width="12.42578125" style="2" customWidth="1"/>
    <col min="19" max="19" width="14.85546875" style="2" bestFit="1" customWidth="1"/>
    <col min="20" max="20" width="8" style="2" customWidth="1"/>
    <col min="21" max="21" width="9" style="2" customWidth="1"/>
    <col min="22" max="22" width="10.85546875" style="2" bestFit="1" customWidth="1"/>
    <col min="23" max="23" width="9" style="2" customWidth="1"/>
    <col min="24" max="24" width="7" style="2" bestFit="1" customWidth="1"/>
    <col min="25" max="25" width="7.28515625" style="2" bestFit="1" customWidth="1"/>
    <col min="26" max="26" width="19.42578125" style="2" bestFit="1" customWidth="1"/>
    <col min="27" max="27" width="13.85546875" style="2" bestFit="1" customWidth="1"/>
    <col min="28" max="28" width="14.28515625" style="2" customWidth="1"/>
    <col min="29" max="29" width="8.85546875" style="2" bestFit="1" customWidth="1"/>
    <col min="30" max="30" width="12.7109375" style="2" bestFit="1" customWidth="1"/>
    <col min="31" max="31" width="16" style="2" customWidth="1"/>
    <col min="32" max="32" width="12.140625" style="2" bestFit="1" customWidth="1"/>
    <col min="33" max="33" width="16.85546875" style="2" customWidth="1"/>
    <col min="34" max="34" width="18.7109375" style="2" customWidth="1"/>
    <col min="35" max="35" width="14.85546875" style="2" bestFit="1" customWidth="1"/>
    <col min="36" max="36" width="13.5703125" style="2" customWidth="1"/>
    <col min="37" max="37" width="10.5703125" style="2" customWidth="1"/>
    <col min="38" max="38" width="11" style="2" customWidth="1"/>
    <col min="39" max="16384" width="9.140625" style="2"/>
  </cols>
  <sheetData>
    <row r="1" spans="1:39" ht="12.75" x14ac:dyDescent="0.2">
      <c r="A1" s="6" t="s">
        <v>60</v>
      </c>
      <c r="B1" s="85" t="s">
        <v>3680</v>
      </c>
    </row>
    <row r="2" spans="1:39" ht="12.75" x14ac:dyDescent="0.2">
      <c r="A2" s="6" t="s">
        <v>61</v>
      </c>
      <c r="B2" s="86" t="s">
        <v>3681</v>
      </c>
      <c r="E2" s="10" t="s">
        <v>139</v>
      </c>
      <c r="F2" s="10" t="s">
        <v>79</v>
      </c>
      <c r="G2" s="10" t="s">
        <v>80</v>
      </c>
      <c r="H2" s="10" t="s">
        <v>140</v>
      </c>
      <c r="I2" s="10" t="s">
        <v>137</v>
      </c>
      <c r="L2" s="10" t="s">
        <v>530</v>
      </c>
      <c r="M2" s="8" t="b">
        <v>1</v>
      </c>
      <c r="P2" s="290" t="s">
        <v>170</v>
      </c>
      <c r="Q2" s="227"/>
      <c r="R2" s="227"/>
      <c r="S2" s="227"/>
      <c r="T2" s="227"/>
      <c r="U2" s="227"/>
      <c r="V2" s="227"/>
      <c r="W2" s="227"/>
      <c r="X2" s="227"/>
      <c r="Y2" s="227"/>
      <c r="Z2" s="227"/>
      <c r="AA2" s="227"/>
      <c r="AB2" s="227"/>
      <c r="AC2" s="227"/>
      <c r="AD2" s="227"/>
      <c r="AE2" s="227"/>
      <c r="AF2" s="227"/>
      <c r="AG2" s="227"/>
      <c r="AH2" s="227"/>
      <c r="AI2" s="227"/>
    </row>
    <row r="3" spans="1:39" ht="12.75" x14ac:dyDescent="0.2">
      <c r="A3" s="6" t="s">
        <v>62</v>
      </c>
      <c r="B3" s="86" t="s">
        <v>1747</v>
      </c>
      <c r="C3" s="12" t="s">
        <v>420</v>
      </c>
      <c r="D3" s="10" t="s">
        <v>121</v>
      </c>
      <c r="E3" s="8">
        <v>50</v>
      </c>
      <c r="F3" s="8">
        <v>50</v>
      </c>
      <c r="G3" s="26">
        <v>34</v>
      </c>
      <c r="H3" s="8">
        <v>83</v>
      </c>
      <c r="I3" s="8">
        <v>-1</v>
      </c>
      <c r="P3" s="15" t="s">
        <v>161</v>
      </c>
      <c r="Q3" s="15" t="s">
        <v>171</v>
      </c>
      <c r="R3" s="15" t="s">
        <v>163</v>
      </c>
      <c r="S3" s="15" t="s">
        <v>164</v>
      </c>
      <c r="T3" s="15" t="s">
        <v>166</v>
      </c>
      <c r="U3" s="21" t="s">
        <v>172</v>
      </c>
      <c r="V3" s="21" t="s">
        <v>173</v>
      </c>
      <c r="W3" s="15" t="s">
        <v>105</v>
      </c>
      <c r="X3" s="15" t="s">
        <v>107</v>
      </c>
      <c r="Y3" s="15" t="s">
        <v>169</v>
      </c>
      <c r="Z3" s="15" t="s">
        <v>174</v>
      </c>
      <c r="AA3" s="15" t="s">
        <v>320</v>
      </c>
      <c r="AB3" s="15" t="s">
        <v>179</v>
      </c>
      <c r="AC3" s="15" t="s">
        <v>280</v>
      </c>
      <c r="AD3" s="15" t="s">
        <v>298</v>
      </c>
      <c r="AE3" s="15" t="s">
        <v>300</v>
      </c>
      <c r="AF3" s="15" t="s">
        <v>609</v>
      </c>
      <c r="AG3" s="15" t="s">
        <v>1658</v>
      </c>
      <c r="AH3" s="15" t="s">
        <v>1657</v>
      </c>
    </row>
    <row r="4" spans="1:39" ht="12.75" x14ac:dyDescent="0.2">
      <c r="A4" s="6" t="s">
        <v>63</v>
      </c>
      <c r="B4" s="198" t="s">
        <v>1748</v>
      </c>
      <c r="C4" s="12" t="s">
        <v>421</v>
      </c>
      <c r="D4" s="10" t="s">
        <v>76</v>
      </c>
      <c r="E4" s="8">
        <v>25</v>
      </c>
      <c r="F4" s="8">
        <v>12</v>
      </c>
      <c r="G4" s="8">
        <v>84</v>
      </c>
      <c r="H4" s="8">
        <v>108</v>
      </c>
      <c r="I4" s="8" t="b">
        <v>0</v>
      </c>
      <c r="P4" s="8" t="s">
        <v>2800</v>
      </c>
      <c r="Q4" s="8" t="s">
        <v>116</v>
      </c>
      <c r="R4" s="8" t="s">
        <v>2801</v>
      </c>
      <c r="S4" s="8" t="s">
        <v>346</v>
      </c>
      <c r="T4" s="8" t="s">
        <v>77</v>
      </c>
      <c r="U4" s="8"/>
      <c r="V4" s="8"/>
      <c r="W4" s="8"/>
      <c r="X4" s="8"/>
      <c r="Y4" s="8"/>
      <c r="Z4" s="8"/>
      <c r="AA4" s="8"/>
      <c r="AB4" s="8"/>
      <c r="AC4" s="8"/>
      <c r="AD4" s="8"/>
      <c r="AE4" s="8"/>
      <c r="AF4" s="8" t="s">
        <v>322</v>
      </c>
      <c r="AG4" s="8"/>
      <c r="AH4" s="8"/>
      <c r="AI4" s="3"/>
    </row>
    <row r="5" spans="1:39" ht="12.75" x14ac:dyDescent="0.2">
      <c r="A5" s="6" t="s">
        <v>64</v>
      </c>
      <c r="B5" s="86" t="s">
        <v>2857</v>
      </c>
      <c r="C5" s="12" t="s">
        <v>422</v>
      </c>
      <c r="D5" s="10" t="s">
        <v>378</v>
      </c>
      <c r="E5" s="8">
        <v>25</v>
      </c>
      <c r="F5" s="8">
        <v>15</v>
      </c>
      <c r="G5" s="8">
        <v>109</v>
      </c>
      <c r="H5" s="8">
        <v>133</v>
      </c>
      <c r="I5" s="8" t="b">
        <v>0</v>
      </c>
      <c r="W5" s="83" t="s">
        <v>122</v>
      </c>
      <c r="X5" s="83" t="s">
        <v>123</v>
      </c>
      <c r="Y5" s="83" t="s">
        <v>124</v>
      </c>
      <c r="Z5" s="83" t="s">
        <v>125</v>
      </c>
      <c r="AA5" s="83" t="s">
        <v>126</v>
      </c>
      <c r="AB5" s="83" t="s">
        <v>127</v>
      </c>
      <c r="AC5" s="83" t="s">
        <v>128</v>
      </c>
      <c r="AD5" s="83" t="s">
        <v>129</v>
      </c>
      <c r="AE5" s="83" t="s">
        <v>130</v>
      </c>
      <c r="AF5" s="83" t="s">
        <v>131</v>
      </c>
      <c r="AG5" s="83" t="s">
        <v>132</v>
      </c>
      <c r="AH5" s="83" t="s">
        <v>133</v>
      </c>
    </row>
    <row r="6" spans="1:39" ht="12.75" x14ac:dyDescent="0.2">
      <c r="A6" s="6"/>
      <c r="B6"/>
      <c r="C6" s="12" t="s">
        <v>423</v>
      </c>
      <c r="D6" s="10" t="s">
        <v>102</v>
      </c>
      <c r="E6" s="8">
        <v>25</v>
      </c>
      <c r="F6" s="8">
        <v>17</v>
      </c>
      <c r="G6" s="8">
        <v>134</v>
      </c>
      <c r="H6" s="8">
        <v>158</v>
      </c>
      <c r="I6" s="8" t="b">
        <v>0</v>
      </c>
    </row>
    <row r="7" spans="1:39" ht="12.75" x14ac:dyDescent="0.2">
      <c r="A7" s="6"/>
      <c r="B7"/>
      <c r="C7" s="12" t="s">
        <v>424</v>
      </c>
      <c r="D7" s="10" t="s">
        <v>379</v>
      </c>
      <c r="E7" s="8">
        <v>25</v>
      </c>
      <c r="F7" s="8">
        <v>17</v>
      </c>
      <c r="G7" s="8">
        <v>159</v>
      </c>
      <c r="H7" s="8">
        <v>183</v>
      </c>
      <c r="I7" s="8" t="b">
        <v>0</v>
      </c>
    </row>
    <row r="8" spans="1:39" ht="12.75" x14ac:dyDescent="0.2">
      <c r="A8" s="6"/>
      <c r="B8"/>
      <c r="C8" s="12" t="s">
        <v>425</v>
      </c>
      <c r="D8" s="10" t="s">
        <v>78</v>
      </c>
      <c r="E8" s="8">
        <v>25</v>
      </c>
      <c r="F8" s="8">
        <v>25</v>
      </c>
      <c r="G8" s="8">
        <v>184</v>
      </c>
      <c r="H8" s="8">
        <v>233</v>
      </c>
      <c r="I8" s="8" t="b">
        <v>0</v>
      </c>
    </row>
    <row r="9" spans="1:39" ht="12.75" x14ac:dyDescent="0.2">
      <c r="A9" s="6" t="s">
        <v>66</v>
      </c>
      <c r="B9" t="s">
        <v>3682</v>
      </c>
    </row>
    <row r="10" spans="1:39" ht="12.75" x14ac:dyDescent="0.2">
      <c r="A10" s="6" t="s">
        <v>67</v>
      </c>
      <c r="B10" t="s">
        <v>3683</v>
      </c>
      <c r="E10" s="10" t="s">
        <v>142</v>
      </c>
      <c r="F10" s="10" t="s">
        <v>143</v>
      </c>
      <c r="T10" s="285" t="s">
        <v>615</v>
      </c>
      <c r="U10" s="286"/>
      <c r="V10" s="237"/>
      <c r="Z10" s="285" t="s">
        <v>260</v>
      </c>
      <c r="AA10" s="237"/>
      <c r="AE10" s="285" t="s">
        <v>512</v>
      </c>
      <c r="AF10" s="286"/>
      <c r="AG10" s="286"/>
      <c r="AH10" s="286"/>
      <c r="AI10" s="286"/>
      <c r="AJ10" s="286"/>
      <c r="AK10" s="286"/>
      <c r="AL10" s="286"/>
      <c r="AM10" s="237"/>
    </row>
    <row r="11" spans="1:39" ht="12.75" x14ac:dyDescent="0.2">
      <c r="A11" s="6" t="s">
        <v>65</v>
      </c>
      <c r="B11" s="86" t="s">
        <v>68</v>
      </c>
      <c r="D11" s="10" t="s">
        <v>167</v>
      </c>
      <c r="E11" s="8">
        <v>84</v>
      </c>
      <c r="F11" s="26">
        <v>42</v>
      </c>
      <c r="T11" s="35" t="s">
        <v>616</v>
      </c>
      <c r="U11" s="35" t="s">
        <v>142</v>
      </c>
      <c r="V11" s="35" t="s">
        <v>593</v>
      </c>
      <c r="Z11" s="8" t="s">
        <v>262</v>
      </c>
      <c r="AA11" s="8">
        <v>4</v>
      </c>
      <c r="AE11" s="136" t="s">
        <v>166</v>
      </c>
      <c r="AF11" s="136" t="s">
        <v>81</v>
      </c>
      <c r="AG11" s="136" t="s">
        <v>497</v>
      </c>
      <c r="AH11" s="136" t="s">
        <v>506</v>
      </c>
      <c r="AI11" s="136" t="s">
        <v>507</v>
      </c>
      <c r="AJ11" s="136" t="s">
        <v>511</v>
      </c>
      <c r="AK11" s="136" t="s">
        <v>638</v>
      </c>
      <c r="AL11" s="136" t="s">
        <v>639</v>
      </c>
      <c r="AM11" s="136" t="s">
        <v>6</v>
      </c>
    </row>
    <row r="12" spans="1:39" x14ac:dyDescent="0.2">
      <c r="D12" s="10" t="s">
        <v>168</v>
      </c>
      <c r="E12" s="8">
        <v>233</v>
      </c>
      <c r="F12" s="8">
        <v>53</v>
      </c>
      <c r="T12" s="8" t="s">
        <v>617</v>
      </c>
      <c r="U12" s="8">
        <v>652</v>
      </c>
      <c r="V12" s="8">
        <v>5</v>
      </c>
      <c r="Z12" s="8" t="s">
        <v>261</v>
      </c>
      <c r="AA12" s="8">
        <v>1121</v>
      </c>
      <c r="AE12" s="8" t="s">
        <v>91</v>
      </c>
      <c r="AF12" s="8" t="s">
        <v>9</v>
      </c>
      <c r="AG12" s="8">
        <v>0.25</v>
      </c>
      <c r="AH12" s="8">
        <v>7</v>
      </c>
      <c r="AI12" s="8">
        <v>7</v>
      </c>
      <c r="AJ12" s="8" t="b">
        <v>0</v>
      </c>
      <c r="AK12" s="8">
        <v>2</v>
      </c>
      <c r="AL12" s="8">
        <v>8</v>
      </c>
      <c r="AM12" s="8"/>
    </row>
    <row r="13" spans="1:39" x14ac:dyDescent="0.2">
      <c r="A13" s="40" t="s">
        <v>632</v>
      </c>
      <c r="T13" s="8" t="s">
        <v>598</v>
      </c>
      <c r="U13" s="8">
        <v>652</v>
      </c>
      <c r="V13" s="8">
        <v>7</v>
      </c>
      <c r="Z13" s="8" t="s">
        <v>263</v>
      </c>
      <c r="AA13" s="8">
        <v>680</v>
      </c>
      <c r="AE13" s="8" t="s">
        <v>92</v>
      </c>
      <c r="AF13" s="8" t="s">
        <v>495</v>
      </c>
      <c r="AG13" s="8">
        <v>5</v>
      </c>
      <c r="AH13" s="8">
        <v>1000</v>
      </c>
      <c r="AI13" s="8">
        <v>1000</v>
      </c>
      <c r="AJ13" s="8" t="b">
        <v>0</v>
      </c>
      <c r="AK13" s="8"/>
      <c r="AL13" s="8"/>
      <c r="AM13" s="8"/>
    </row>
    <row r="14" spans="1:39" ht="12.75" x14ac:dyDescent="0.2">
      <c r="A14" s="8" t="b">
        <v>1</v>
      </c>
      <c r="D14" s="285" t="s">
        <v>69</v>
      </c>
      <c r="E14" s="286"/>
      <c r="F14" s="237"/>
      <c r="H14" s="285" t="s">
        <v>70</v>
      </c>
      <c r="I14" s="286"/>
      <c r="J14" s="237"/>
      <c r="L14" s="287" t="s">
        <v>71</v>
      </c>
      <c r="M14" s="288"/>
      <c r="N14" s="289"/>
      <c r="T14" s="8" t="s">
        <v>595</v>
      </c>
      <c r="U14" s="8">
        <v>652</v>
      </c>
      <c r="V14" s="8">
        <v>9</v>
      </c>
      <c r="Z14" s="8" t="s">
        <v>264</v>
      </c>
      <c r="AA14" s="8">
        <v>10</v>
      </c>
      <c r="AE14" s="8" t="s">
        <v>77</v>
      </c>
      <c r="AF14" s="8" t="s">
        <v>8</v>
      </c>
      <c r="AG14" s="8">
        <v>0.34</v>
      </c>
      <c r="AH14" s="175"/>
      <c r="AI14" s="175"/>
      <c r="AJ14" s="8"/>
      <c r="AK14" s="8">
        <v>0.1</v>
      </c>
      <c r="AL14" s="8">
        <v>13</v>
      </c>
      <c r="AM14" s="8" t="s">
        <v>7</v>
      </c>
    </row>
    <row r="15" spans="1:39" x14ac:dyDescent="0.2">
      <c r="D15" s="2" t="s">
        <v>141</v>
      </c>
      <c r="E15" s="23">
        <v>7</v>
      </c>
      <c r="H15" s="2" t="s">
        <v>141</v>
      </c>
      <c r="I15" s="23">
        <v>7</v>
      </c>
      <c r="L15" s="2" t="s">
        <v>141</v>
      </c>
      <c r="M15" s="23">
        <v>5</v>
      </c>
      <c r="T15" s="8" t="s">
        <v>596</v>
      </c>
      <c r="U15" s="8">
        <v>652</v>
      </c>
      <c r="V15" s="8">
        <v>11</v>
      </c>
      <c r="Z15" s="8" t="s">
        <v>265</v>
      </c>
      <c r="AA15" s="8">
        <v>23</v>
      </c>
      <c r="AE15" s="8" t="s">
        <v>640</v>
      </c>
      <c r="AF15" s="8" t="s">
        <v>8</v>
      </c>
      <c r="AG15" s="8"/>
      <c r="AH15" s="175"/>
      <c r="AI15" s="175"/>
      <c r="AJ15" s="8"/>
      <c r="AK15" s="8">
        <v>10</v>
      </c>
      <c r="AL15" s="8">
        <v>35</v>
      </c>
      <c r="AM15" s="8" t="s">
        <v>5</v>
      </c>
    </row>
    <row r="16" spans="1:39" x14ac:dyDescent="0.2">
      <c r="A16" s="40" t="s">
        <v>381</v>
      </c>
      <c r="D16" s="2" t="s">
        <v>85</v>
      </c>
      <c r="E16" s="22">
        <v>35</v>
      </c>
      <c r="H16" s="2" t="s">
        <v>85</v>
      </c>
      <c r="I16" s="22">
        <v>42</v>
      </c>
      <c r="L16" s="2" t="s">
        <v>85</v>
      </c>
      <c r="M16" s="22">
        <v>49</v>
      </c>
      <c r="T16" s="8" t="s">
        <v>601</v>
      </c>
      <c r="U16" s="8">
        <v>652</v>
      </c>
      <c r="V16" s="8">
        <v>13</v>
      </c>
      <c r="Z16" s="8" t="s">
        <v>288</v>
      </c>
      <c r="AA16" s="8">
        <v>5</v>
      </c>
      <c r="AE16" s="8" t="s">
        <v>641</v>
      </c>
      <c r="AF16" s="8" t="s">
        <v>642</v>
      </c>
      <c r="AG16" s="8">
        <v>1</v>
      </c>
      <c r="AH16" s="8"/>
      <c r="AI16" s="8"/>
      <c r="AJ16" s="8"/>
      <c r="AK16" s="8"/>
      <c r="AL16" s="8"/>
      <c r="AM16" s="8"/>
    </row>
    <row r="17" spans="1:39" x14ac:dyDescent="0.2">
      <c r="A17" s="8" t="b">
        <v>1</v>
      </c>
      <c r="D17" s="2" t="s">
        <v>87</v>
      </c>
      <c r="E17" s="22">
        <v>41</v>
      </c>
      <c r="H17" s="2" t="s">
        <v>87</v>
      </c>
      <c r="I17" s="22">
        <v>48</v>
      </c>
      <c r="L17" s="2" t="s">
        <v>87</v>
      </c>
      <c r="M17" s="22">
        <v>53</v>
      </c>
      <c r="T17" s="8" t="s">
        <v>608</v>
      </c>
      <c r="U17" s="8">
        <v>652</v>
      </c>
      <c r="V17" s="8">
        <v>15</v>
      </c>
      <c r="Z17" s="8" t="s">
        <v>302</v>
      </c>
      <c r="AA17" s="8">
        <v>308</v>
      </c>
      <c r="AE17" s="8"/>
      <c r="AF17" s="8"/>
      <c r="AG17" s="8"/>
      <c r="AH17" s="8"/>
      <c r="AI17" s="8"/>
      <c r="AJ17" s="8"/>
      <c r="AK17" s="8"/>
      <c r="AL17" s="8"/>
      <c r="AM17" s="8"/>
    </row>
    <row r="18" spans="1:39" ht="12" thickBot="1" x14ac:dyDescent="0.25">
      <c r="D18" s="2" t="s">
        <v>137</v>
      </c>
      <c r="E18" s="55" t="b">
        <v>1</v>
      </c>
      <c r="H18" s="2" t="s">
        <v>137</v>
      </c>
      <c r="I18" s="22" t="b">
        <v>0</v>
      </c>
      <c r="L18" s="2" t="s">
        <v>137</v>
      </c>
      <c r="M18" s="55" t="b">
        <v>1</v>
      </c>
      <c r="T18" s="8" t="s">
        <v>597</v>
      </c>
      <c r="U18" s="8">
        <v>652</v>
      </c>
      <c r="V18" s="8">
        <v>17</v>
      </c>
      <c r="Z18" s="8"/>
      <c r="AA18" s="8"/>
      <c r="AE18" s="8"/>
      <c r="AF18" s="8"/>
      <c r="AG18" s="8"/>
      <c r="AH18" s="8"/>
      <c r="AI18" s="8"/>
      <c r="AJ18" s="8"/>
      <c r="AK18" s="8"/>
      <c r="AL18" s="8"/>
      <c r="AM18" s="8"/>
    </row>
    <row r="19" spans="1:39" x14ac:dyDescent="0.2">
      <c r="A19" s="40" t="s">
        <v>307</v>
      </c>
      <c r="D19" s="11" t="s">
        <v>89</v>
      </c>
      <c r="E19" s="56">
        <v>2</v>
      </c>
      <c r="F19" s="57" t="s">
        <v>50</v>
      </c>
      <c r="L19" s="11" t="s">
        <v>89</v>
      </c>
      <c r="M19" s="56">
        <v>2</v>
      </c>
      <c r="N19" s="57" t="s">
        <v>176</v>
      </c>
      <c r="T19" s="8" t="s">
        <v>327</v>
      </c>
      <c r="U19" s="8">
        <v>652</v>
      </c>
      <c r="V19" s="8">
        <v>19</v>
      </c>
      <c r="Z19" s="8"/>
      <c r="AA19" s="8"/>
      <c r="AE19" s="8"/>
      <c r="AF19" s="8"/>
      <c r="AG19" s="8"/>
      <c r="AH19" s="8"/>
      <c r="AI19" s="8"/>
      <c r="AJ19" s="8"/>
      <c r="AK19" s="8"/>
      <c r="AL19" s="8"/>
      <c r="AM19" s="8"/>
    </row>
    <row r="20" spans="1:39" ht="12" thickBot="1" x14ac:dyDescent="0.25">
      <c r="A20" s="39" t="s">
        <v>4237</v>
      </c>
      <c r="D20" s="11" t="s">
        <v>90</v>
      </c>
      <c r="E20" s="58" t="s">
        <v>92</v>
      </c>
      <c r="F20" s="59" t="s">
        <v>345</v>
      </c>
      <c r="L20" s="11" t="s">
        <v>90</v>
      </c>
      <c r="M20" s="58" t="s">
        <v>92</v>
      </c>
      <c r="N20" s="59" t="s">
        <v>345</v>
      </c>
      <c r="T20" s="8" t="s">
        <v>1662</v>
      </c>
      <c r="U20" s="8">
        <v>652</v>
      </c>
      <c r="V20" s="8">
        <v>25</v>
      </c>
      <c r="Z20" s="8"/>
      <c r="AA20" s="8"/>
      <c r="AE20" s="8"/>
      <c r="AF20" s="8"/>
      <c r="AG20" s="8"/>
      <c r="AH20" s="8"/>
      <c r="AI20" s="8"/>
      <c r="AJ20" s="8"/>
      <c r="AK20" s="8"/>
      <c r="AL20" s="8"/>
      <c r="AM20" s="8"/>
    </row>
    <row r="21" spans="1:39" x14ac:dyDescent="0.2">
      <c r="D21" s="11" t="s">
        <v>89</v>
      </c>
      <c r="E21" s="56">
        <v>1</v>
      </c>
      <c r="F21" s="57" t="s">
        <v>175</v>
      </c>
      <c r="L21" s="11" t="s">
        <v>89</v>
      </c>
      <c r="M21" s="56">
        <v>2</v>
      </c>
      <c r="N21" s="57" t="s">
        <v>176</v>
      </c>
      <c r="T21" s="8"/>
      <c r="U21" s="8"/>
      <c r="V21" s="8"/>
      <c r="Z21" s="8"/>
      <c r="AA21" s="8"/>
      <c r="AE21" s="8"/>
      <c r="AF21" s="8"/>
      <c r="AG21" s="8"/>
      <c r="AH21" s="8"/>
      <c r="AI21" s="8"/>
      <c r="AJ21" s="8"/>
      <c r="AK21" s="8"/>
      <c r="AL21" s="8"/>
      <c r="AM21" s="8"/>
    </row>
    <row r="22" spans="1:39" ht="12" thickBot="1" x14ac:dyDescent="0.25">
      <c r="D22" s="11" t="s">
        <v>90</v>
      </c>
      <c r="E22" s="58" t="s">
        <v>92</v>
      </c>
      <c r="F22" s="59" t="s">
        <v>345</v>
      </c>
      <c r="L22" s="11" t="s">
        <v>90</v>
      </c>
      <c r="M22" s="58" t="s">
        <v>91</v>
      </c>
      <c r="N22" s="59" t="s">
        <v>344</v>
      </c>
      <c r="T22" s="8"/>
      <c r="U22" s="8"/>
      <c r="V22" s="8"/>
      <c r="AE22" s="8"/>
      <c r="AF22" s="8"/>
      <c r="AG22" s="8"/>
      <c r="AH22" s="8"/>
      <c r="AI22" s="8"/>
      <c r="AJ22" s="8"/>
      <c r="AK22" s="8"/>
      <c r="AL22" s="8"/>
      <c r="AM22" s="8"/>
    </row>
    <row r="23" spans="1:39" x14ac:dyDescent="0.2">
      <c r="A23" s="40" t="s">
        <v>313</v>
      </c>
      <c r="D23" s="11" t="s">
        <v>89</v>
      </c>
      <c r="E23" s="56">
        <v>3</v>
      </c>
      <c r="F23" s="57" t="s">
        <v>50</v>
      </c>
      <c r="L23" s="11" t="s">
        <v>89</v>
      </c>
      <c r="M23" s="56">
        <v>1</v>
      </c>
      <c r="N23" s="57" t="s">
        <v>176</v>
      </c>
      <c r="T23" s="8"/>
      <c r="U23" s="8"/>
      <c r="V23" s="8"/>
      <c r="AE23" s="8"/>
      <c r="AF23" s="8"/>
      <c r="AG23" s="8"/>
      <c r="AH23" s="8"/>
      <c r="AI23" s="8"/>
      <c r="AJ23" s="8"/>
      <c r="AK23" s="8"/>
      <c r="AL23" s="8"/>
      <c r="AM23" s="8"/>
    </row>
    <row r="24" spans="1:39" ht="12" thickBot="1" x14ac:dyDescent="0.25">
      <c r="A24" s="41" t="s">
        <v>101</v>
      </c>
      <c r="D24" s="11" t="s">
        <v>90</v>
      </c>
      <c r="E24" s="58" t="s">
        <v>91</v>
      </c>
      <c r="F24" s="59" t="s">
        <v>344</v>
      </c>
      <c r="L24" s="11" t="s">
        <v>90</v>
      </c>
      <c r="M24" s="58" t="s">
        <v>77</v>
      </c>
      <c r="N24" s="59" t="s">
        <v>346</v>
      </c>
      <c r="T24" s="8"/>
      <c r="U24" s="8"/>
      <c r="V24" s="8"/>
      <c r="AE24" s="8"/>
      <c r="AF24" s="8"/>
      <c r="AG24" s="8"/>
      <c r="AH24" s="8"/>
      <c r="AI24" s="8"/>
      <c r="AJ24" s="8"/>
      <c r="AK24" s="8"/>
      <c r="AL24" s="8"/>
      <c r="AM24" s="8"/>
    </row>
    <row r="25" spans="1:39" x14ac:dyDescent="0.2">
      <c r="A25" s="40" t="s">
        <v>314</v>
      </c>
      <c r="D25" s="11" t="s">
        <v>89</v>
      </c>
      <c r="E25" s="56">
        <v>1</v>
      </c>
      <c r="F25" s="57" t="s">
        <v>3416</v>
      </c>
      <c r="L25" s="11" t="s">
        <v>89</v>
      </c>
      <c r="M25" s="60"/>
      <c r="N25" s="57"/>
      <c r="T25" s="8"/>
      <c r="U25" s="8"/>
      <c r="V25" s="8"/>
      <c r="AE25" s="8"/>
      <c r="AF25" s="8"/>
      <c r="AG25" s="8"/>
      <c r="AH25" s="8"/>
      <c r="AI25" s="8"/>
      <c r="AJ25" s="8"/>
      <c r="AK25" s="8"/>
      <c r="AL25" s="8"/>
      <c r="AM25" s="8"/>
    </row>
    <row r="26" spans="1:39" ht="11.25" customHeight="1" thickBot="1" x14ac:dyDescent="0.25">
      <c r="A26" s="41" t="s">
        <v>102</v>
      </c>
      <c r="D26" s="11" t="s">
        <v>90</v>
      </c>
      <c r="E26" s="58" t="s">
        <v>77</v>
      </c>
      <c r="F26" s="59" t="s">
        <v>346</v>
      </c>
      <c r="L26" s="11" t="s">
        <v>90</v>
      </c>
      <c r="M26" s="58"/>
      <c r="N26" s="59"/>
      <c r="T26" s="8"/>
      <c r="U26" s="8"/>
      <c r="V26" s="8"/>
      <c r="Z26" s="285" t="s">
        <v>337</v>
      </c>
      <c r="AA26" s="237"/>
      <c r="AB26" s="40" t="s">
        <v>336</v>
      </c>
      <c r="AC26" s="137" t="s">
        <v>428</v>
      </c>
      <c r="AE26" s="8"/>
      <c r="AF26" s="8"/>
      <c r="AG26" s="8"/>
      <c r="AH26" s="8"/>
      <c r="AI26" s="8"/>
      <c r="AJ26" s="8"/>
      <c r="AK26" s="8"/>
      <c r="AL26" s="8"/>
      <c r="AM26" s="8"/>
    </row>
    <row r="27" spans="1:39" x14ac:dyDescent="0.2">
      <c r="A27" s="40" t="s">
        <v>410</v>
      </c>
      <c r="D27" s="11" t="s">
        <v>89</v>
      </c>
      <c r="E27" s="56"/>
      <c r="F27" s="57"/>
      <c r="L27" s="11" t="s">
        <v>89</v>
      </c>
      <c r="M27" s="60"/>
      <c r="N27" s="57"/>
      <c r="Z27" s="8" t="s">
        <v>328</v>
      </c>
      <c r="AA27" s="8" t="b">
        <v>0</v>
      </c>
      <c r="AB27" s="87" t="b">
        <v>0</v>
      </c>
      <c r="AC27" s="138" t="b">
        <v>0</v>
      </c>
    </row>
    <row r="28" spans="1:39" ht="12" thickBot="1" x14ac:dyDescent="0.25">
      <c r="A28" s="62" t="s">
        <v>3196</v>
      </c>
      <c r="B28" s="161"/>
      <c r="D28" s="11" t="s">
        <v>90</v>
      </c>
      <c r="E28" s="58"/>
      <c r="F28" s="59"/>
      <c r="L28" s="11" t="s">
        <v>90</v>
      </c>
      <c r="M28" s="58"/>
      <c r="N28" s="59"/>
      <c r="Z28" s="8" t="s">
        <v>329</v>
      </c>
      <c r="AA28" s="8" t="b">
        <v>0</v>
      </c>
      <c r="AC28" s="138" t="b">
        <v>0</v>
      </c>
    </row>
    <row r="29" spans="1:39" x14ac:dyDescent="0.2">
      <c r="A29" s="40" t="s">
        <v>315</v>
      </c>
      <c r="D29" s="11" t="s">
        <v>89</v>
      </c>
      <c r="E29" s="56"/>
      <c r="F29" s="57"/>
      <c r="L29" s="11" t="s">
        <v>89</v>
      </c>
      <c r="M29" s="60"/>
      <c r="N29" s="57"/>
      <c r="Z29" s="8" t="s">
        <v>330</v>
      </c>
      <c r="AA29" s="8" t="b">
        <v>0</v>
      </c>
      <c r="AC29" s="138" t="b">
        <v>0</v>
      </c>
    </row>
    <row r="30" spans="1:39" ht="12" thickBot="1" x14ac:dyDescent="0.25">
      <c r="A30" s="41"/>
      <c r="D30" s="11" t="s">
        <v>90</v>
      </c>
      <c r="E30" s="58"/>
      <c r="F30" s="59"/>
      <c r="L30" s="11" t="s">
        <v>90</v>
      </c>
      <c r="M30" s="58"/>
      <c r="N30" s="59"/>
      <c r="Z30" s="8" t="s">
        <v>331</v>
      </c>
      <c r="AA30" s="8" t="b">
        <v>0</v>
      </c>
      <c r="AC30" s="138" t="b">
        <v>0</v>
      </c>
    </row>
    <row r="31" spans="1:39" x14ac:dyDescent="0.2">
      <c r="A31" s="40" t="s">
        <v>316</v>
      </c>
      <c r="D31" s="11" t="s">
        <v>89</v>
      </c>
      <c r="E31" s="56"/>
      <c r="F31" s="57"/>
      <c r="L31" s="11" t="s">
        <v>89</v>
      </c>
      <c r="M31" s="60"/>
      <c r="N31" s="57"/>
      <c r="Z31" s="8" t="s">
        <v>332</v>
      </c>
      <c r="AA31" s="8" t="b">
        <v>0</v>
      </c>
      <c r="AC31" s="138" t="b">
        <v>0</v>
      </c>
    </row>
    <row r="32" spans="1:39" ht="12" thickBot="1" x14ac:dyDescent="0.25">
      <c r="A32" s="82"/>
      <c r="D32" s="11" t="s">
        <v>90</v>
      </c>
      <c r="E32" s="58"/>
      <c r="F32" s="59"/>
      <c r="L32" s="11" t="s">
        <v>90</v>
      </c>
      <c r="M32" s="58"/>
      <c r="N32" s="59"/>
      <c r="Z32" s="8" t="s">
        <v>335</v>
      </c>
      <c r="AA32" s="8" t="b">
        <v>0</v>
      </c>
      <c r="AC32" s="138" t="b">
        <v>0</v>
      </c>
    </row>
    <row r="33" spans="1:29" ht="12.75" x14ac:dyDescent="0.2">
      <c r="A33" s="287" t="s">
        <v>426</v>
      </c>
      <c r="B33" s="291"/>
      <c r="D33" s="11" t="s">
        <v>89</v>
      </c>
      <c r="E33" s="56"/>
      <c r="F33" s="57"/>
      <c r="L33" s="11" t="s">
        <v>89</v>
      </c>
      <c r="M33" s="60"/>
      <c r="N33" s="57"/>
      <c r="Z33" s="8" t="s">
        <v>334</v>
      </c>
      <c r="AA33" s="8" t="b">
        <v>0</v>
      </c>
      <c r="AC33" s="138" t="b">
        <v>0</v>
      </c>
    </row>
    <row r="34" spans="1:29" ht="12" thickBot="1" x14ac:dyDescent="0.25">
      <c r="A34" s="41" t="s">
        <v>321</v>
      </c>
      <c r="B34" s="41">
        <v>2901</v>
      </c>
      <c r="D34" s="11" t="s">
        <v>90</v>
      </c>
      <c r="E34" s="58"/>
      <c r="F34" s="59"/>
      <c r="L34" s="11" t="s">
        <v>90</v>
      </c>
      <c r="M34" s="58"/>
      <c r="N34" s="59"/>
      <c r="Z34" s="8" t="s">
        <v>418</v>
      </c>
      <c r="AA34" s="8" t="b">
        <v>0</v>
      </c>
      <c r="AC34" s="138" t="b">
        <v>0</v>
      </c>
    </row>
    <row r="35" spans="1:29" ht="12.75" x14ac:dyDescent="0.2">
      <c r="A35" s="287" t="s">
        <v>427</v>
      </c>
      <c r="B35" s="291"/>
      <c r="D35" s="11" t="s">
        <v>89</v>
      </c>
      <c r="E35" s="56"/>
      <c r="F35" s="57"/>
      <c r="L35" s="11" t="s">
        <v>89</v>
      </c>
      <c r="M35" s="60"/>
      <c r="N35" s="57"/>
      <c r="Z35" s="8" t="s">
        <v>419</v>
      </c>
      <c r="AA35" s="8" t="b">
        <v>0</v>
      </c>
      <c r="AC35" s="138" t="b">
        <v>0</v>
      </c>
    </row>
    <row r="36" spans="1:29" ht="12" thickBot="1" x14ac:dyDescent="0.25">
      <c r="A36" s="41" t="s">
        <v>322</v>
      </c>
      <c r="B36" s="41">
        <v>2900</v>
      </c>
      <c r="D36" s="11" t="s">
        <v>90</v>
      </c>
      <c r="E36" s="58"/>
      <c r="F36" s="59"/>
      <c r="G36" s="292" t="s">
        <v>643</v>
      </c>
      <c r="H36" s="293"/>
      <c r="L36" s="11" t="s">
        <v>90</v>
      </c>
      <c r="M36" s="58"/>
      <c r="N36" s="59"/>
      <c r="O36" s="292" t="s">
        <v>644</v>
      </c>
      <c r="P36" s="293"/>
    </row>
    <row r="37" spans="1:29" x14ac:dyDescent="0.2">
      <c r="A37" s="40" t="s">
        <v>414</v>
      </c>
      <c r="G37" s="173"/>
      <c r="H37" s="21"/>
      <c r="O37" s="21"/>
      <c r="P37" s="21"/>
    </row>
    <row r="38" spans="1:29" x14ac:dyDescent="0.2">
      <c r="A38" s="41" t="b">
        <v>1</v>
      </c>
      <c r="G38" s="173"/>
      <c r="H38" s="21"/>
      <c r="J38" s="173">
        <v>2</v>
      </c>
      <c r="K38" s="21" t="s">
        <v>50</v>
      </c>
      <c r="O38" s="21"/>
      <c r="P38" s="21"/>
      <c r="R38" s="21">
        <v>2</v>
      </c>
      <c r="S38" s="21" t="s">
        <v>176</v>
      </c>
    </row>
    <row r="39" spans="1:29" x14ac:dyDescent="0.2">
      <c r="G39" s="173"/>
      <c r="H39" s="21"/>
      <c r="J39" s="173" t="s">
        <v>92</v>
      </c>
      <c r="K39" s="21" t="s">
        <v>345</v>
      </c>
      <c r="O39" s="21"/>
      <c r="P39" s="21"/>
      <c r="R39" s="21" t="s">
        <v>92</v>
      </c>
      <c r="S39" s="21" t="s">
        <v>345</v>
      </c>
    </row>
    <row r="40" spans="1:29" x14ac:dyDescent="0.2">
      <c r="G40" s="173"/>
      <c r="H40" s="21"/>
      <c r="J40" s="173">
        <v>1</v>
      </c>
      <c r="K40" s="21" t="s">
        <v>175</v>
      </c>
      <c r="O40" s="21"/>
      <c r="P40" s="21"/>
      <c r="R40" s="21">
        <v>2</v>
      </c>
      <c r="S40" s="21" t="s">
        <v>176</v>
      </c>
    </row>
    <row r="41" spans="1:29" x14ac:dyDescent="0.2">
      <c r="A41" s="40" t="s">
        <v>416</v>
      </c>
      <c r="G41" s="173"/>
      <c r="H41" s="21"/>
      <c r="J41" s="173" t="s">
        <v>92</v>
      </c>
      <c r="K41" s="21" t="s">
        <v>345</v>
      </c>
      <c r="O41" s="21"/>
      <c r="P41" s="21"/>
      <c r="R41" s="21" t="s">
        <v>91</v>
      </c>
      <c r="S41" s="21" t="s">
        <v>344</v>
      </c>
    </row>
    <row r="42" spans="1:29" x14ac:dyDescent="0.2">
      <c r="A42" s="41">
        <v>60</v>
      </c>
      <c r="G42" s="173"/>
      <c r="H42" s="21"/>
      <c r="J42" s="173">
        <v>3</v>
      </c>
      <c r="K42" s="21" t="s">
        <v>50</v>
      </c>
      <c r="O42" s="21"/>
      <c r="P42" s="21"/>
      <c r="R42" s="21">
        <v>1</v>
      </c>
      <c r="S42" s="21" t="s">
        <v>176</v>
      </c>
    </row>
    <row r="43" spans="1:29" x14ac:dyDescent="0.2">
      <c r="A43" s="40" t="s">
        <v>415</v>
      </c>
      <c r="G43" s="173"/>
      <c r="H43" s="21"/>
      <c r="J43" s="173" t="s">
        <v>91</v>
      </c>
      <c r="K43" s="21" t="s">
        <v>344</v>
      </c>
      <c r="O43" s="21"/>
      <c r="P43" s="21"/>
      <c r="R43" s="21" t="s">
        <v>77</v>
      </c>
      <c r="S43" s="21" t="s">
        <v>346</v>
      </c>
    </row>
    <row r="44" spans="1:29" x14ac:dyDescent="0.2">
      <c r="A44" s="41" t="s">
        <v>583</v>
      </c>
      <c r="G44" s="173"/>
      <c r="H44" s="21"/>
      <c r="J44" s="173">
        <v>1</v>
      </c>
      <c r="K44" s="21" t="s">
        <v>50</v>
      </c>
      <c r="O44" s="21"/>
      <c r="P44" s="21"/>
    </row>
    <row r="45" spans="1:29" x14ac:dyDescent="0.2">
      <c r="G45" s="21"/>
      <c r="H45" s="21"/>
      <c r="J45" s="173" t="s">
        <v>77</v>
      </c>
      <c r="K45" s="21" t="s">
        <v>346</v>
      </c>
      <c r="O45" s="21"/>
      <c r="P45" s="21"/>
    </row>
    <row r="46" spans="1:29" x14ac:dyDescent="0.2">
      <c r="A46" s="40" t="s">
        <v>389</v>
      </c>
      <c r="G46" s="21"/>
      <c r="H46" s="21"/>
      <c r="O46" s="21"/>
      <c r="P46" s="21"/>
    </row>
    <row r="47" spans="1:29" x14ac:dyDescent="0.2">
      <c r="A47" s="41" t="s">
        <v>390</v>
      </c>
      <c r="G47" s="21"/>
      <c r="H47" s="21"/>
      <c r="O47" s="21"/>
      <c r="P47" s="21"/>
    </row>
    <row r="48" spans="1:29" ht="12.75" x14ac:dyDescent="0.2">
      <c r="G48" s="21"/>
      <c r="H48" s="21"/>
      <c r="O48" s="21"/>
      <c r="P48" s="21"/>
      <c r="T48" s="285" t="s">
        <v>633</v>
      </c>
      <c r="U48" s="286"/>
      <c r="V48" s="237"/>
    </row>
    <row r="49" spans="1:23" x14ac:dyDescent="0.2">
      <c r="A49" s="40" t="s">
        <v>392</v>
      </c>
      <c r="G49" s="21"/>
      <c r="H49" s="21"/>
      <c r="O49" s="21"/>
      <c r="P49" s="21"/>
      <c r="T49" s="15" t="s">
        <v>142</v>
      </c>
      <c r="U49" s="15" t="s">
        <v>81</v>
      </c>
      <c r="V49" s="15" t="s">
        <v>634</v>
      </c>
      <c r="W49" s="15" t="s">
        <v>635</v>
      </c>
    </row>
    <row r="50" spans="1:23" x14ac:dyDescent="0.2">
      <c r="A50" s="41" t="b">
        <v>0</v>
      </c>
      <c r="G50" s="21"/>
      <c r="H50" s="21"/>
      <c r="O50" s="21"/>
      <c r="P50" s="21"/>
      <c r="T50" s="8">
        <v>96</v>
      </c>
      <c r="U50" s="8" t="s">
        <v>119</v>
      </c>
      <c r="V50" s="22">
        <v>0</v>
      </c>
      <c r="W50" s="8"/>
    </row>
    <row r="51" spans="1:23" x14ac:dyDescent="0.2">
      <c r="G51" s="21"/>
      <c r="H51" s="21"/>
      <c r="O51" s="21"/>
      <c r="P51" s="21"/>
      <c r="T51" s="8">
        <v>84</v>
      </c>
      <c r="U51" s="8" t="s">
        <v>779</v>
      </c>
      <c r="V51" s="172" t="s">
        <v>780</v>
      </c>
      <c r="W51" s="8"/>
    </row>
    <row r="52" spans="1:23" x14ac:dyDescent="0.2">
      <c r="A52" s="40" t="s">
        <v>590</v>
      </c>
      <c r="G52" s="21"/>
      <c r="H52" s="21"/>
      <c r="O52" s="21"/>
      <c r="P52" s="21"/>
      <c r="T52" s="8">
        <v>14</v>
      </c>
      <c r="U52" s="8" t="s">
        <v>636</v>
      </c>
      <c r="V52" s="8" t="s">
        <v>637</v>
      </c>
      <c r="W52" s="8"/>
    </row>
    <row r="53" spans="1:23" x14ac:dyDescent="0.2">
      <c r="A53" s="162">
        <v>43418.54315972222</v>
      </c>
      <c r="G53" s="21"/>
      <c r="H53" s="21"/>
      <c r="O53" s="21"/>
      <c r="P53" s="21"/>
      <c r="T53" s="8">
        <v>85</v>
      </c>
      <c r="U53" s="8" t="s">
        <v>119</v>
      </c>
      <c r="V53" s="188">
        <v>0</v>
      </c>
      <c r="W53" s="8"/>
    </row>
    <row r="54" spans="1:23" x14ac:dyDescent="0.2">
      <c r="G54" s="21"/>
      <c r="H54" s="21"/>
      <c r="O54" s="21"/>
      <c r="P54" s="21"/>
      <c r="T54" s="8"/>
      <c r="U54" s="8"/>
      <c r="V54" s="8"/>
      <c r="W54" s="8"/>
    </row>
    <row r="55" spans="1:23" x14ac:dyDescent="0.2">
      <c r="A55" s="40" t="s">
        <v>503</v>
      </c>
      <c r="G55" s="21"/>
      <c r="H55" s="21"/>
      <c r="O55" s="21"/>
      <c r="P55" s="21"/>
      <c r="T55" s="8"/>
      <c r="U55" s="8"/>
      <c r="V55" s="8"/>
      <c r="W55" s="8"/>
    </row>
    <row r="56" spans="1:23" x14ac:dyDescent="0.2">
      <c r="A56" s="162" t="s">
        <v>504</v>
      </c>
      <c r="G56" s="21"/>
      <c r="H56" s="21"/>
      <c r="O56" s="21"/>
      <c r="P56" s="21"/>
      <c r="T56" s="8"/>
      <c r="U56" s="8"/>
      <c r="V56" s="8"/>
      <c r="W56" s="8"/>
    </row>
    <row r="57" spans="1:23" x14ac:dyDescent="0.2">
      <c r="G57" s="21"/>
      <c r="H57" s="21"/>
      <c r="O57" s="21"/>
      <c r="P57" s="21"/>
      <c r="T57" s="8"/>
      <c r="U57" s="8"/>
      <c r="V57" s="8"/>
      <c r="W57" s="8"/>
    </row>
    <row r="58" spans="1:23" x14ac:dyDescent="0.2">
      <c r="A58" s="40" t="s">
        <v>505</v>
      </c>
      <c r="G58" s="21"/>
      <c r="H58" s="21"/>
      <c r="O58" s="21"/>
      <c r="P58" s="21"/>
      <c r="T58" s="8"/>
      <c r="U58" s="8"/>
      <c r="V58" s="8"/>
      <c r="W58" s="8"/>
    </row>
    <row r="59" spans="1:23" x14ac:dyDescent="0.2">
      <c r="A59" s="162">
        <v>43418.543275462966</v>
      </c>
      <c r="G59" s="21"/>
      <c r="H59" s="21"/>
      <c r="O59" s="21"/>
      <c r="P59" s="21"/>
      <c r="T59" s="8"/>
      <c r="U59" s="8"/>
      <c r="V59" s="8"/>
      <c r="W59" s="8"/>
    </row>
    <row r="60" spans="1:23" x14ac:dyDescent="0.2">
      <c r="T60" s="8"/>
      <c r="U60" s="8"/>
      <c r="V60" s="8"/>
      <c r="W60" s="8"/>
    </row>
    <row r="61" spans="1:23" x14ac:dyDescent="0.2">
      <c r="A61" s="40" t="s">
        <v>645</v>
      </c>
      <c r="T61" s="8"/>
      <c r="U61" s="8"/>
      <c r="V61" s="8"/>
      <c r="W61" s="8"/>
    </row>
    <row r="62" spans="1:23" x14ac:dyDescent="0.2">
      <c r="A62" s="162" t="b">
        <v>1</v>
      </c>
      <c r="T62" s="8"/>
      <c r="U62" s="8"/>
      <c r="V62" s="8"/>
      <c r="W62" s="8"/>
    </row>
    <row r="63" spans="1:23" x14ac:dyDescent="0.2">
      <c r="T63" s="8"/>
      <c r="U63" s="8"/>
      <c r="V63" s="8"/>
      <c r="W63" s="8"/>
    </row>
    <row r="64" spans="1:23" x14ac:dyDescent="0.2">
      <c r="A64" s="40" t="s">
        <v>0</v>
      </c>
      <c r="T64" s="8"/>
      <c r="U64" s="8"/>
      <c r="V64" s="8"/>
      <c r="W64" s="8"/>
    </row>
    <row r="65" spans="1:23" x14ac:dyDescent="0.2">
      <c r="A65" s="162" t="b">
        <v>0</v>
      </c>
      <c r="T65" s="8"/>
      <c r="U65" s="8"/>
      <c r="V65" s="8"/>
      <c r="W65" s="8"/>
    </row>
    <row r="66" spans="1:23" x14ac:dyDescent="0.2">
      <c r="T66" s="8"/>
      <c r="U66" s="8"/>
      <c r="V66" s="8"/>
      <c r="W66" s="8"/>
    </row>
    <row r="67" spans="1:23" x14ac:dyDescent="0.2">
      <c r="A67" s="40" t="s">
        <v>1</v>
      </c>
      <c r="T67" s="8"/>
      <c r="U67" s="8"/>
      <c r="V67" s="8"/>
      <c r="W67" s="8"/>
    </row>
    <row r="68" spans="1:23" x14ac:dyDescent="0.2">
      <c r="A68" s="180" t="s">
        <v>12</v>
      </c>
      <c r="T68" s="8"/>
      <c r="U68" s="8"/>
      <c r="V68" s="8"/>
      <c r="W68" s="8"/>
    </row>
    <row r="69" spans="1:23" ht="12" thickBot="1" x14ac:dyDescent="0.25">
      <c r="T69" s="8"/>
      <c r="U69" s="8"/>
      <c r="V69" s="8"/>
      <c r="W69" s="8"/>
    </row>
    <row r="70" spans="1:23" ht="12" thickTop="1" x14ac:dyDescent="0.2">
      <c r="A70" s="176" t="s">
        <v>2</v>
      </c>
    </row>
    <row r="71" spans="1:23" x14ac:dyDescent="0.2">
      <c r="A71" s="177" t="s">
        <v>48</v>
      </c>
    </row>
    <row r="72" spans="1:23" x14ac:dyDescent="0.2">
      <c r="A72" s="178" t="s">
        <v>3</v>
      </c>
    </row>
    <row r="73" spans="1:23" x14ac:dyDescent="0.2">
      <c r="A73" s="177" t="s">
        <v>649</v>
      </c>
    </row>
    <row r="74" spans="1:23" x14ac:dyDescent="0.2">
      <c r="A74" s="178" t="s">
        <v>4</v>
      </c>
    </row>
    <row r="75" spans="1:23" ht="12" thickBot="1" x14ac:dyDescent="0.25">
      <c r="A75" s="179" t="s">
        <v>649</v>
      </c>
    </row>
    <row r="76" spans="1:23" ht="12" thickTop="1" x14ac:dyDescent="0.2"/>
    <row r="164" spans="38:39" x14ac:dyDescent="0.2">
      <c r="AL164" s="81"/>
      <c r="AM164" s="81"/>
    </row>
  </sheetData>
  <sheetProtection algorithmName="SHA-512" hashValue="bZMBHjGneQy9S4gpigzaH08LTExYd93k1kUMuGksoJfO1rbEBYox2Zd2HCJLv9S9ub+HAjaAxoE00fKTVgFyHA==" saltValue="x/N2jrhlgcQDMTUHq9IUSg==" spinCount="100000" sheet="1" objects="1" scenarios="1"/>
  <mergeCells count="13">
    <mergeCell ref="A33:B33"/>
    <mergeCell ref="A35:B35"/>
    <mergeCell ref="Z26:AA26"/>
    <mergeCell ref="AE10:AM10"/>
    <mergeCell ref="G36:H36"/>
    <mergeCell ref="O36:P36"/>
    <mergeCell ref="T48:V48"/>
    <mergeCell ref="D14:F14"/>
    <mergeCell ref="H14:J14"/>
    <mergeCell ref="L14:N14"/>
    <mergeCell ref="P2:AI2"/>
    <mergeCell ref="Z10:AA10"/>
    <mergeCell ref="T10:V10"/>
  </mergeCells>
  <phoneticPr fontId="0" type="noConversion"/>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AS1935"/>
  <sheetViews>
    <sheetView workbookViewId="0">
      <selection activeCell="AJ38" sqref="AJ38"/>
    </sheetView>
  </sheetViews>
  <sheetFormatPr defaultColWidth="9.140625" defaultRowHeight="11.25" x14ac:dyDescent="0.2"/>
  <cols>
    <col min="1" max="1" width="9.140625" style="2"/>
    <col min="2" max="2" width="10.85546875" style="2" customWidth="1"/>
    <col min="3" max="4" width="9.140625" style="2"/>
    <col min="5" max="5" width="12.7109375" style="2" customWidth="1"/>
    <col min="6" max="9" width="9.140625" style="2"/>
    <col min="10" max="10" width="15.42578125" style="2" bestFit="1" customWidth="1"/>
    <col min="11" max="13" width="9.140625" style="2"/>
    <col min="14" max="14" width="16.28515625" style="2" bestFit="1" customWidth="1"/>
    <col min="15" max="15" width="10" style="2" bestFit="1" customWidth="1"/>
    <col min="16" max="17" width="9.140625" style="2"/>
    <col min="18" max="18" width="19.140625" style="2" bestFit="1" customWidth="1"/>
    <col min="19" max="19" width="10" style="2" bestFit="1" customWidth="1"/>
    <col min="20" max="26" width="9.140625" style="2"/>
    <col min="27" max="27" width="13.42578125" style="2" customWidth="1"/>
    <col min="28" max="41" width="9.140625" style="2"/>
    <col min="42" max="42" width="13.5703125" style="2" customWidth="1"/>
    <col min="43" max="43" width="9.140625" style="2"/>
    <col min="44" max="44" width="15.5703125" style="2" customWidth="1"/>
    <col min="45" max="45" width="29" style="2" bestFit="1" customWidth="1"/>
    <col min="46" max="16384" width="9.140625" style="2"/>
  </cols>
  <sheetData>
    <row r="1" spans="1:45" x14ac:dyDescent="0.2">
      <c r="A1" s="2" t="s">
        <v>98</v>
      </c>
      <c r="B1" s="2" t="s">
        <v>241</v>
      </c>
      <c r="C1" s="2" t="s">
        <v>618</v>
      </c>
      <c r="D1" s="2" t="s">
        <v>97</v>
      </c>
      <c r="E1" s="2" t="s">
        <v>242</v>
      </c>
      <c r="F1" s="2" t="s">
        <v>243</v>
      </c>
      <c r="G1" s="2" t="s">
        <v>589</v>
      </c>
      <c r="H1" s="2" t="s">
        <v>600</v>
      </c>
      <c r="I1" s="2" t="s">
        <v>93</v>
      </c>
      <c r="J1" s="2" t="s">
        <v>244</v>
      </c>
      <c r="K1" s="2" t="s">
        <v>245</v>
      </c>
      <c r="L1" s="2" t="s">
        <v>95</v>
      </c>
      <c r="M1" s="2" t="s">
        <v>246</v>
      </c>
      <c r="N1" s="2" t="s">
        <v>94</v>
      </c>
      <c r="O1" s="2" t="s">
        <v>96</v>
      </c>
      <c r="P1" s="2" t="s">
        <v>100</v>
      </c>
      <c r="Q1" s="2" t="s">
        <v>247</v>
      </c>
      <c r="R1" s="2" t="s">
        <v>605</v>
      </c>
      <c r="S1" s="2" t="s">
        <v>588</v>
      </c>
      <c r="T1" s="2" t="s">
        <v>591</v>
      </c>
      <c r="U1" s="2" t="s">
        <v>103</v>
      </c>
      <c r="V1" s="2" t="s">
        <v>252</v>
      </c>
      <c r="W1" s="2" t="s">
        <v>599</v>
      </c>
      <c r="X1" s="2" t="s">
        <v>253</v>
      </c>
      <c r="Y1" s="2" t="s">
        <v>207</v>
      </c>
      <c r="Z1" s="2" t="s">
        <v>254</v>
      </c>
      <c r="AA1" s="2" t="s">
        <v>255</v>
      </c>
      <c r="AB1" s="2" t="s">
        <v>256</v>
      </c>
      <c r="AC1" s="2" t="s">
        <v>257</v>
      </c>
      <c r="AD1" s="2" t="s">
        <v>259</v>
      </c>
      <c r="AE1" s="2" t="s">
        <v>281</v>
      </c>
      <c r="AF1" s="2" t="s">
        <v>282</v>
      </c>
      <c r="AG1" s="2" t="s">
        <v>283</v>
      </c>
      <c r="AH1" s="2" t="s">
        <v>284</v>
      </c>
      <c r="AI1" s="2" t="s">
        <v>285</v>
      </c>
      <c r="AJ1" s="2" t="s">
        <v>286</v>
      </c>
      <c r="AK1" s="2" t="s">
        <v>287</v>
      </c>
      <c r="AL1" s="2" t="s">
        <v>293</v>
      </c>
      <c r="AM1" s="2" t="s">
        <v>296</v>
      </c>
      <c r="AN1" s="2" t="s">
        <v>297</v>
      </c>
    </row>
    <row r="2" spans="1:45" ht="12.75" x14ac:dyDescent="0.2">
      <c r="B2" s="290" t="s">
        <v>177</v>
      </c>
      <c r="C2" s="227"/>
      <c r="E2" s="285" t="s">
        <v>178</v>
      </c>
      <c r="F2" s="286"/>
      <c r="G2" s="286"/>
      <c r="H2" s="237"/>
      <c r="J2" s="285" t="s">
        <v>302</v>
      </c>
      <c r="K2" s="294"/>
      <c r="L2" s="295"/>
      <c r="N2" s="285" t="s">
        <v>237</v>
      </c>
      <c r="O2" s="294"/>
      <c r="P2" s="295"/>
      <c r="R2" s="285" t="s">
        <v>178</v>
      </c>
      <c r="S2" s="294"/>
      <c r="T2" s="295"/>
      <c r="AA2" s="290" t="s">
        <v>258</v>
      </c>
      <c r="AB2" s="227"/>
      <c r="AC2" s="227"/>
      <c r="AD2" s="227"/>
      <c r="AF2" s="290" t="s">
        <v>288</v>
      </c>
      <c r="AG2" s="227"/>
      <c r="AH2" s="227"/>
      <c r="AI2" s="227"/>
      <c r="AJ2" s="227"/>
      <c r="AK2" s="227"/>
      <c r="AL2" s="227"/>
      <c r="AM2" s="227"/>
      <c r="AN2" s="227"/>
      <c r="AR2" s="144" t="s">
        <v>382</v>
      </c>
      <c r="AS2" s="145"/>
    </row>
    <row r="3" spans="1:45" x14ac:dyDescent="0.2">
      <c r="B3" s="8" t="s">
        <v>1501</v>
      </c>
      <c r="E3" s="8" t="s">
        <v>240</v>
      </c>
      <c r="F3" s="8" t="s">
        <v>239</v>
      </c>
      <c r="G3" s="8" t="s">
        <v>412</v>
      </c>
      <c r="H3" s="8" t="s">
        <v>413</v>
      </c>
      <c r="J3" s="8" t="s">
        <v>267</v>
      </c>
      <c r="K3" s="8" t="s">
        <v>305</v>
      </c>
      <c r="L3" s="8" t="s">
        <v>301</v>
      </c>
      <c r="N3" s="8" t="s">
        <v>238</v>
      </c>
      <c r="O3" s="8" t="s">
        <v>239</v>
      </c>
      <c r="R3" s="8" t="s">
        <v>240</v>
      </c>
      <c r="S3" s="8" t="s">
        <v>239</v>
      </c>
      <c r="AA3" s="37" t="s">
        <v>249</v>
      </c>
      <c r="AB3" s="37" t="s">
        <v>250</v>
      </c>
      <c r="AC3" s="37" t="s">
        <v>251</v>
      </c>
      <c r="AD3" s="8" t="s">
        <v>1659</v>
      </c>
      <c r="AF3" s="37" t="s">
        <v>289</v>
      </c>
      <c r="AG3" s="37" t="s">
        <v>294</v>
      </c>
      <c r="AH3" s="37" t="s">
        <v>290</v>
      </c>
      <c r="AI3" s="37" t="s">
        <v>291</v>
      </c>
      <c r="AJ3" s="37" t="s">
        <v>292</v>
      </c>
      <c r="AK3" s="37" t="s">
        <v>250</v>
      </c>
      <c r="AL3" s="37" t="s">
        <v>295</v>
      </c>
      <c r="AM3" s="8" t="s">
        <v>299</v>
      </c>
      <c r="AR3" s="8" t="s">
        <v>383</v>
      </c>
      <c r="AS3" s="8" t="s">
        <v>267</v>
      </c>
    </row>
    <row r="4" spans="1:45" x14ac:dyDescent="0.2">
      <c r="B4" s="2" t="s">
        <v>3479</v>
      </c>
      <c r="D4" s="2">
        <v>1</v>
      </c>
      <c r="E4" s="29" t="s">
        <v>4319</v>
      </c>
      <c r="F4" s="29">
        <v>184</v>
      </c>
      <c r="G4" s="29" t="s">
        <v>566</v>
      </c>
      <c r="H4" s="29" t="s">
        <v>3651</v>
      </c>
      <c r="J4" s="29" t="s">
        <v>3125</v>
      </c>
      <c r="K4" s="29">
        <v>627</v>
      </c>
      <c r="L4" s="29" t="s">
        <v>3126</v>
      </c>
      <c r="M4" s="2">
        <v>1</v>
      </c>
      <c r="N4" s="29" t="s">
        <v>190</v>
      </c>
      <c r="O4" s="29">
        <v>134</v>
      </c>
      <c r="Q4" s="2">
        <v>1</v>
      </c>
      <c r="R4" s="29" t="s">
        <v>411</v>
      </c>
      <c r="S4" s="29">
        <v>184</v>
      </c>
      <c r="AA4" s="29" t="s">
        <v>4346</v>
      </c>
      <c r="AB4" s="29">
        <v>1154</v>
      </c>
      <c r="AC4" s="29" t="s">
        <v>2994</v>
      </c>
      <c r="AD4" s="29">
        <v>40875</v>
      </c>
      <c r="AF4" s="29">
        <v>12</v>
      </c>
      <c r="AG4" s="29" t="s">
        <v>4347</v>
      </c>
      <c r="AH4" s="29" t="s">
        <v>1594</v>
      </c>
      <c r="AI4" s="29" t="s">
        <v>2794</v>
      </c>
      <c r="AJ4" s="29" t="s">
        <v>359</v>
      </c>
      <c r="AK4" s="29">
        <v>1154</v>
      </c>
      <c r="AL4" s="29" t="s">
        <v>4346</v>
      </c>
      <c r="AM4" s="29" t="s">
        <v>4348</v>
      </c>
      <c r="AQ4" s="2">
        <v>1</v>
      </c>
      <c r="AR4" s="29" t="s">
        <v>12</v>
      </c>
      <c r="AS4" s="29" t="s">
        <v>850</v>
      </c>
    </row>
    <row r="5" spans="1:45" x14ac:dyDescent="0.2">
      <c r="B5" s="2" t="s">
        <v>3552</v>
      </c>
      <c r="D5" s="2">
        <v>2</v>
      </c>
      <c r="E5" s="29" t="s">
        <v>3653</v>
      </c>
      <c r="F5" s="29">
        <v>185</v>
      </c>
      <c r="G5" s="29" t="s">
        <v>566</v>
      </c>
      <c r="H5" s="29" t="s">
        <v>3651</v>
      </c>
      <c r="J5" s="29" t="s">
        <v>2858</v>
      </c>
      <c r="K5" s="29">
        <v>2061</v>
      </c>
      <c r="L5" s="29" t="s">
        <v>2859</v>
      </c>
      <c r="M5" s="2">
        <v>2</v>
      </c>
      <c r="N5" s="29" t="s">
        <v>500</v>
      </c>
      <c r="O5" s="29">
        <v>135</v>
      </c>
      <c r="Q5" s="2">
        <v>2</v>
      </c>
      <c r="R5" s="29" t="s">
        <v>324</v>
      </c>
      <c r="S5" s="29">
        <v>185</v>
      </c>
      <c r="AA5" s="29"/>
      <c r="AB5" s="29"/>
      <c r="AC5" s="29"/>
      <c r="AD5" s="29"/>
      <c r="AF5" s="29">
        <v>12</v>
      </c>
      <c r="AG5" s="29" t="s">
        <v>4347</v>
      </c>
      <c r="AH5" s="29" t="s">
        <v>236</v>
      </c>
      <c r="AI5" s="29" t="s">
        <v>2794</v>
      </c>
      <c r="AJ5" s="29" t="s">
        <v>99</v>
      </c>
      <c r="AK5" s="29">
        <v>1154</v>
      </c>
      <c r="AL5" s="29" t="s">
        <v>4346</v>
      </c>
      <c r="AM5" s="29" t="s">
        <v>4348</v>
      </c>
      <c r="AQ5" s="2">
        <v>2</v>
      </c>
      <c r="AR5" s="29" t="s">
        <v>852</v>
      </c>
      <c r="AS5" s="29" t="s">
        <v>853</v>
      </c>
    </row>
    <row r="6" spans="1:45" x14ac:dyDescent="0.2">
      <c r="B6" s="2" t="s">
        <v>3553</v>
      </c>
      <c r="D6" s="2">
        <v>3</v>
      </c>
      <c r="E6" s="29" t="s">
        <v>4322</v>
      </c>
      <c r="F6" s="29">
        <v>186</v>
      </c>
      <c r="G6" s="29" t="s">
        <v>566</v>
      </c>
      <c r="H6" s="29" t="s">
        <v>3651</v>
      </c>
      <c r="J6" s="29" t="s">
        <v>2860</v>
      </c>
      <c r="K6" s="29">
        <v>2034</v>
      </c>
      <c r="L6" s="29" t="s">
        <v>233</v>
      </c>
      <c r="M6" s="2">
        <v>3</v>
      </c>
      <c r="N6" s="29" t="s">
        <v>191</v>
      </c>
      <c r="O6" s="29">
        <v>136</v>
      </c>
      <c r="Q6" s="2">
        <v>3</v>
      </c>
      <c r="R6" s="29" t="s">
        <v>403</v>
      </c>
      <c r="S6" s="29">
        <v>186</v>
      </c>
      <c r="AA6" s="29"/>
      <c r="AB6" s="29"/>
      <c r="AC6" s="29"/>
      <c r="AD6" s="29"/>
      <c r="AF6" s="29"/>
      <c r="AG6" s="29"/>
      <c r="AH6" s="29"/>
      <c r="AI6" s="29"/>
      <c r="AJ6" s="29"/>
      <c r="AK6" s="29"/>
      <c r="AL6" s="29"/>
      <c r="AM6" s="29"/>
      <c r="AQ6" s="2">
        <v>3</v>
      </c>
      <c r="AR6" s="29" t="s">
        <v>3541</v>
      </c>
      <c r="AS6" s="29" t="s">
        <v>3542</v>
      </c>
    </row>
    <row r="7" spans="1:45" x14ac:dyDescent="0.2">
      <c r="B7" s="2" t="s">
        <v>3554</v>
      </c>
      <c r="D7" s="2">
        <v>4</v>
      </c>
      <c r="E7" s="29" t="s">
        <v>326</v>
      </c>
      <c r="F7" s="29">
        <v>187</v>
      </c>
      <c r="G7" s="29" t="s">
        <v>566</v>
      </c>
      <c r="H7" s="29" t="s">
        <v>3651</v>
      </c>
      <c r="J7" s="29" t="s">
        <v>2861</v>
      </c>
      <c r="K7" s="29">
        <v>2001</v>
      </c>
      <c r="L7" s="29" t="s">
        <v>1541</v>
      </c>
      <c r="M7" s="2">
        <v>4</v>
      </c>
      <c r="N7" s="29" t="s">
        <v>192</v>
      </c>
      <c r="O7" s="29">
        <v>137</v>
      </c>
      <c r="Q7" s="2">
        <v>4</v>
      </c>
      <c r="R7" s="29" t="s">
        <v>325</v>
      </c>
      <c r="S7" s="29">
        <v>187</v>
      </c>
      <c r="AA7" s="29"/>
      <c r="AB7" s="29"/>
      <c r="AC7" s="29"/>
      <c r="AD7" s="29"/>
      <c r="AF7" s="29"/>
      <c r="AG7" s="29"/>
      <c r="AH7" s="29"/>
      <c r="AI7" s="29"/>
      <c r="AJ7" s="29"/>
      <c r="AK7" s="29"/>
      <c r="AL7" s="29"/>
      <c r="AM7" s="29"/>
      <c r="AQ7" s="2">
        <v>4</v>
      </c>
      <c r="AR7" s="29" t="s">
        <v>854</v>
      </c>
      <c r="AS7" s="29" t="s">
        <v>855</v>
      </c>
    </row>
    <row r="8" spans="1:45" x14ac:dyDescent="0.2">
      <c r="B8" s="2" t="s">
        <v>3555</v>
      </c>
      <c r="D8" s="2">
        <v>5</v>
      </c>
      <c r="E8" s="29" t="s">
        <v>325</v>
      </c>
      <c r="F8" s="29">
        <v>188</v>
      </c>
      <c r="G8" s="29" t="s">
        <v>566</v>
      </c>
      <c r="H8" s="29" t="s">
        <v>3651</v>
      </c>
      <c r="J8" s="29" t="s">
        <v>3585</v>
      </c>
      <c r="K8" s="29">
        <v>1038</v>
      </c>
      <c r="L8" s="29" t="s">
        <v>3586</v>
      </c>
      <c r="M8" s="2">
        <v>5</v>
      </c>
      <c r="N8" s="29" t="s">
        <v>193</v>
      </c>
      <c r="O8" s="29">
        <v>138</v>
      </c>
      <c r="Q8" s="2">
        <v>5</v>
      </c>
      <c r="R8" s="29" t="s">
        <v>326</v>
      </c>
      <c r="S8" s="29">
        <v>188</v>
      </c>
      <c r="AA8" s="29"/>
      <c r="AB8" s="29"/>
      <c r="AC8" s="29"/>
      <c r="AD8" s="29"/>
      <c r="AF8" s="29"/>
      <c r="AG8" s="29"/>
      <c r="AH8" s="29"/>
      <c r="AI8" s="29"/>
      <c r="AJ8" s="29"/>
      <c r="AK8" s="29"/>
      <c r="AL8" s="29"/>
      <c r="AM8" s="29"/>
      <c r="AQ8" s="2">
        <v>5</v>
      </c>
      <c r="AR8" s="29" t="s">
        <v>4315</v>
      </c>
      <c r="AS8" s="29" t="s">
        <v>4316</v>
      </c>
    </row>
    <row r="9" spans="1:45" x14ac:dyDescent="0.2">
      <c r="B9" s="2" t="s">
        <v>3684</v>
      </c>
      <c r="D9" s="2">
        <v>6</v>
      </c>
      <c r="E9" s="29" t="s">
        <v>3657</v>
      </c>
      <c r="F9" s="29">
        <v>189</v>
      </c>
      <c r="G9" s="29" t="s">
        <v>566</v>
      </c>
      <c r="H9" s="29" t="s">
        <v>3651</v>
      </c>
      <c r="J9" s="29" t="s">
        <v>3480</v>
      </c>
      <c r="K9" s="29">
        <v>2354</v>
      </c>
      <c r="L9" s="29" t="s">
        <v>348</v>
      </c>
      <c r="M9" s="2">
        <v>6</v>
      </c>
      <c r="N9" s="29" t="s">
        <v>194</v>
      </c>
      <c r="O9" s="29">
        <v>139</v>
      </c>
      <c r="Q9" s="2">
        <v>6</v>
      </c>
      <c r="R9" s="29" t="s">
        <v>326</v>
      </c>
      <c r="S9" s="29">
        <v>189</v>
      </c>
      <c r="AA9" s="29"/>
      <c r="AB9" s="29"/>
      <c r="AC9" s="29"/>
      <c r="AD9" s="29"/>
      <c r="AF9" s="29"/>
      <c r="AG9" s="29"/>
      <c r="AH9" s="29"/>
      <c r="AI9" s="29"/>
      <c r="AJ9" s="29"/>
      <c r="AK9" s="29"/>
      <c r="AL9" s="29"/>
      <c r="AM9" s="29"/>
      <c r="AQ9" s="2">
        <v>6</v>
      </c>
      <c r="AR9" s="29" t="s">
        <v>856</v>
      </c>
      <c r="AS9" s="29" t="s">
        <v>857</v>
      </c>
    </row>
    <row r="10" spans="1:45" x14ac:dyDescent="0.2">
      <c r="B10" s="2" t="s">
        <v>3556</v>
      </c>
      <c r="D10" s="2">
        <v>7</v>
      </c>
      <c r="E10" s="29" t="s">
        <v>3662</v>
      </c>
      <c r="F10" s="29">
        <v>190</v>
      </c>
      <c r="G10" s="29" t="s">
        <v>3660</v>
      </c>
      <c r="H10" s="29" t="s">
        <v>3659</v>
      </c>
      <c r="J10" s="29" t="s">
        <v>1542</v>
      </c>
      <c r="K10" s="29">
        <v>1612</v>
      </c>
      <c r="L10" s="29" t="s">
        <v>232</v>
      </c>
      <c r="M10" s="2">
        <v>7</v>
      </c>
      <c r="N10" s="29" t="s">
        <v>529</v>
      </c>
      <c r="O10" s="29">
        <v>140</v>
      </c>
      <c r="Q10" s="2">
        <v>7</v>
      </c>
      <c r="R10" s="29"/>
      <c r="S10" s="29"/>
      <c r="AA10" s="29"/>
      <c r="AB10" s="29"/>
      <c r="AC10" s="29"/>
      <c r="AD10" s="29"/>
      <c r="AF10" s="29"/>
      <c r="AG10" s="29"/>
      <c r="AH10" s="29"/>
      <c r="AI10" s="29"/>
      <c r="AJ10" s="29"/>
      <c r="AK10" s="29"/>
      <c r="AL10" s="29"/>
      <c r="AM10" s="29"/>
      <c r="AQ10" s="2">
        <v>7</v>
      </c>
      <c r="AR10" s="29" t="s">
        <v>3400</v>
      </c>
      <c r="AS10" s="29" t="s">
        <v>3401</v>
      </c>
    </row>
    <row r="11" spans="1:45" x14ac:dyDescent="0.2">
      <c r="B11" s="2" t="s">
        <v>3557</v>
      </c>
      <c r="D11" s="2">
        <v>8</v>
      </c>
      <c r="E11" s="29" t="s">
        <v>3665</v>
      </c>
      <c r="F11" s="29">
        <v>191</v>
      </c>
      <c r="G11" s="29" t="s">
        <v>3660</v>
      </c>
      <c r="H11" s="29" t="s">
        <v>3659</v>
      </c>
      <c r="J11" s="29" t="s">
        <v>3481</v>
      </c>
      <c r="K11" s="29">
        <v>2271</v>
      </c>
      <c r="L11" s="29" t="s">
        <v>255</v>
      </c>
      <c r="M11" s="2">
        <v>8</v>
      </c>
      <c r="N11" s="29"/>
      <c r="O11" s="29"/>
      <c r="Q11" s="2">
        <v>8</v>
      </c>
      <c r="R11" s="29"/>
      <c r="S11" s="29"/>
      <c r="AA11" s="29"/>
      <c r="AB11" s="29"/>
      <c r="AC11" s="29"/>
      <c r="AD11" s="29"/>
      <c r="AF11" s="29"/>
      <c r="AG11" s="29"/>
      <c r="AH11" s="29"/>
      <c r="AI11" s="29"/>
      <c r="AJ11" s="29"/>
      <c r="AK11" s="29"/>
      <c r="AL11" s="29"/>
      <c r="AM11" s="29"/>
      <c r="AQ11" s="2">
        <v>8</v>
      </c>
      <c r="AR11" s="29" t="s">
        <v>858</v>
      </c>
      <c r="AS11" s="29" t="s">
        <v>859</v>
      </c>
    </row>
    <row r="12" spans="1:45" x14ac:dyDescent="0.2">
      <c r="B12" s="2" t="s">
        <v>3558</v>
      </c>
      <c r="D12" s="2">
        <v>9</v>
      </c>
      <c r="E12" s="29" t="s">
        <v>4325</v>
      </c>
      <c r="F12" s="29">
        <v>192</v>
      </c>
      <c r="G12" s="29" t="s">
        <v>2867</v>
      </c>
      <c r="H12" s="29" t="s">
        <v>3659</v>
      </c>
      <c r="J12" s="29" t="s">
        <v>2862</v>
      </c>
      <c r="K12" s="29">
        <v>1762</v>
      </c>
      <c r="L12" s="29" t="s">
        <v>2863</v>
      </c>
      <c r="M12" s="2">
        <v>9</v>
      </c>
      <c r="N12" s="29"/>
      <c r="O12" s="29"/>
      <c r="Q12" s="2">
        <v>9</v>
      </c>
      <c r="R12" s="29"/>
      <c r="S12" s="29"/>
      <c r="AA12" s="29"/>
      <c r="AB12" s="29"/>
      <c r="AC12" s="29"/>
      <c r="AD12" s="29"/>
      <c r="AF12" s="29"/>
      <c r="AG12" s="29"/>
      <c r="AH12" s="29"/>
      <c r="AI12" s="29"/>
      <c r="AJ12" s="29"/>
      <c r="AK12" s="29"/>
      <c r="AL12" s="29"/>
      <c r="AM12" s="29"/>
      <c r="AQ12" s="2">
        <v>9</v>
      </c>
      <c r="AR12" s="29" t="s">
        <v>860</v>
      </c>
      <c r="AS12" s="29" t="s">
        <v>859</v>
      </c>
    </row>
    <row r="13" spans="1:45" x14ac:dyDescent="0.2">
      <c r="B13" s="2" t="s">
        <v>3559</v>
      </c>
      <c r="D13" s="2">
        <v>10</v>
      </c>
      <c r="E13" s="29" t="s">
        <v>4328</v>
      </c>
      <c r="F13" s="29">
        <v>193</v>
      </c>
      <c r="G13" s="29" t="s">
        <v>2867</v>
      </c>
      <c r="H13" s="29" t="s">
        <v>3659</v>
      </c>
      <c r="J13" s="29" t="s">
        <v>2864</v>
      </c>
      <c r="K13" s="29">
        <v>1748</v>
      </c>
      <c r="L13" s="29" t="s">
        <v>2865</v>
      </c>
      <c r="M13" s="2">
        <v>10</v>
      </c>
      <c r="N13" s="29"/>
      <c r="O13" s="29"/>
      <c r="Q13" s="2">
        <v>10</v>
      </c>
      <c r="R13" s="29"/>
      <c r="S13" s="29"/>
      <c r="AA13" s="29"/>
      <c r="AB13" s="29"/>
      <c r="AC13" s="29"/>
      <c r="AD13" s="29"/>
      <c r="AF13" s="29"/>
      <c r="AG13" s="29"/>
      <c r="AH13" s="29"/>
      <c r="AI13" s="29"/>
      <c r="AJ13" s="29"/>
      <c r="AK13" s="29"/>
      <c r="AL13" s="29"/>
      <c r="AM13" s="29"/>
      <c r="AQ13" s="2">
        <v>10</v>
      </c>
      <c r="AR13" s="29" t="s">
        <v>861</v>
      </c>
      <c r="AS13" s="29" t="s">
        <v>862</v>
      </c>
    </row>
    <row r="14" spans="1:45" x14ac:dyDescent="0.2">
      <c r="B14" s="2" t="s">
        <v>3560</v>
      </c>
      <c r="D14" s="2">
        <v>11</v>
      </c>
      <c r="E14" s="29" t="s">
        <v>4331</v>
      </c>
      <c r="F14" s="29">
        <v>194</v>
      </c>
      <c r="G14" s="29" t="s">
        <v>2867</v>
      </c>
      <c r="H14" s="29" t="s">
        <v>3659</v>
      </c>
      <c r="J14" s="29" t="s">
        <v>3066</v>
      </c>
      <c r="K14" s="29">
        <v>2199</v>
      </c>
      <c r="L14" s="29" t="s">
        <v>32</v>
      </c>
      <c r="M14" s="2">
        <v>11</v>
      </c>
      <c r="N14" s="29"/>
      <c r="O14" s="29"/>
      <c r="Q14" s="2">
        <v>11</v>
      </c>
      <c r="R14" s="29"/>
      <c r="S14" s="29"/>
      <c r="AA14" s="29"/>
      <c r="AB14" s="29"/>
      <c r="AC14" s="29"/>
      <c r="AD14" s="29"/>
      <c r="AF14" s="29"/>
      <c r="AG14" s="29"/>
      <c r="AH14" s="29"/>
      <c r="AI14" s="29"/>
      <c r="AJ14" s="29"/>
      <c r="AK14" s="29"/>
      <c r="AL14" s="29"/>
      <c r="AM14" s="29"/>
      <c r="AQ14" s="2">
        <v>11</v>
      </c>
      <c r="AR14" s="29" t="s">
        <v>863</v>
      </c>
      <c r="AS14" s="29" t="s">
        <v>864</v>
      </c>
    </row>
    <row r="15" spans="1:45" x14ac:dyDescent="0.2">
      <c r="B15" s="2" t="s">
        <v>3561</v>
      </c>
      <c r="D15" s="2">
        <v>12</v>
      </c>
      <c r="E15" s="29" t="s">
        <v>4335</v>
      </c>
      <c r="F15" s="29">
        <v>195</v>
      </c>
      <c r="G15" s="29" t="s">
        <v>348</v>
      </c>
      <c r="H15" s="29" t="s">
        <v>4333</v>
      </c>
      <c r="J15" s="29" t="s">
        <v>3482</v>
      </c>
      <c r="K15" s="29">
        <v>2300</v>
      </c>
      <c r="L15" s="29" t="s">
        <v>3483</v>
      </c>
      <c r="M15" s="2">
        <v>12</v>
      </c>
      <c r="N15" s="29"/>
      <c r="O15" s="29"/>
      <c r="Q15" s="2">
        <v>12</v>
      </c>
      <c r="R15" s="29"/>
      <c r="S15" s="29"/>
      <c r="AA15" s="29"/>
      <c r="AB15" s="29"/>
      <c r="AC15" s="29"/>
      <c r="AD15" s="29"/>
      <c r="AF15" s="29"/>
      <c r="AG15" s="29"/>
      <c r="AH15" s="29"/>
      <c r="AI15" s="29"/>
      <c r="AJ15" s="29"/>
      <c r="AK15" s="29"/>
      <c r="AL15" s="29"/>
      <c r="AM15" s="29"/>
      <c r="AQ15" s="2">
        <v>12</v>
      </c>
      <c r="AR15" s="29" t="s">
        <v>865</v>
      </c>
      <c r="AS15" s="29" t="s">
        <v>866</v>
      </c>
    </row>
    <row r="16" spans="1:45" x14ac:dyDescent="0.2">
      <c r="B16" s="2" t="s">
        <v>3562</v>
      </c>
      <c r="D16" s="2">
        <v>13</v>
      </c>
      <c r="E16" s="29" t="s">
        <v>4337</v>
      </c>
      <c r="F16" s="29">
        <v>196</v>
      </c>
      <c r="G16" s="29" t="s">
        <v>348</v>
      </c>
      <c r="H16" s="29" t="s">
        <v>4333</v>
      </c>
      <c r="J16" s="29" t="s">
        <v>4274</v>
      </c>
      <c r="K16" s="29">
        <v>2434</v>
      </c>
      <c r="L16" s="29" t="s">
        <v>781</v>
      </c>
      <c r="M16" s="2">
        <v>13</v>
      </c>
      <c r="N16" s="29"/>
      <c r="O16" s="29"/>
      <c r="Q16" s="2">
        <v>13</v>
      </c>
      <c r="R16" s="29"/>
      <c r="S16" s="29"/>
      <c r="AA16" s="29"/>
      <c r="AB16" s="29"/>
      <c r="AC16" s="29"/>
      <c r="AD16" s="29"/>
      <c r="AF16" s="29"/>
      <c r="AG16" s="29"/>
      <c r="AH16" s="29"/>
      <c r="AI16" s="29"/>
      <c r="AJ16" s="29"/>
      <c r="AK16" s="29"/>
      <c r="AL16" s="29"/>
      <c r="AM16" s="29"/>
      <c r="AQ16" s="2">
        <v>13</v>
      </c>
      <c r="AR16" s="29" t="s">
        <v>867</v>
      </c>
      <c r="AS16" s="29" t="s">
        <v>868</v>
      </c>
    </row>
    <row r="17" spans="2:45" x14ac:dyDescent="0.2">
      <c r="B17" s="2" t="s">
        <v>3563</v>
      </c>
      <c r="D17" s="2">
        <v>14</v>
      </c>
      <c r="E17" s="29" t="s">
        <v>4340</v>
      </c>
      <c r="F17" s="29">
        <v>197</v>
      </c>
      <c r="G17" s="29" t="s">
        <v>348</v>
      </c>
      <c r="H17" s="29" t="s">
        <v>4333</v>
      </c>
      <c r="J17" s="29" t="s">
        <v>4275</v>
      </c>
      <c r="K17" s="29">
        <v>1285</v>
      </c>
      <c r="L17" s="29" t="s">
        <v>241</v>
      </c>
      <c r="M17" s="2">
        <v>14</v>
      </c>
      <c r="N17" s="29"/>
      <c r="O17" s="29"/>
      <c r="Q17" s="2">
        <v>14</v>
      </c>
      <c r="R17" s="29"/>
      <c r="S17" s="29"/>
      <c r="AA17" s="29"/>
      <c r="AB17" s="29"/>
      <c r="AC17" s="29"/>
      <c r="AD17" s="29"/>
      <c r="AF17" s="29"/>
      <c r="AG17" s="29"/>
      <c r="AH17" s="29"/>
      <c r="AI17" s="29"/>
      <c r="AJ17" s="29"/>
      <c r="AK17" s="29"/>
      <c r="AL17" s="29"/>
      <c r="AM17" s="29"/>
      <c r="AQ17" s="2">
        <v>14</v>
      </c>
      <c r="AR17" s="29" t="s">
        <v>869</v>
      </c>
      <c r="AS17" s="29" t="s">
        <v>870</v>
      </c>
    </row>
    <row r="18" spans="2:45" x14ac:dyDescent="0.2">
      <c r="B18" s="2" t="s">
        <v>3564</v>
      </c>
      <c r="D18" s="2">
        <v>15</v>
      </c>
      <c r="E18" s="29" t="s">
        <v>3670</v>
      </c>
      <c r="F18" s="29">
        <v>198</v>
      </c>
      <c r="G18" s="29" t="s">
        <v>3668</v>
      </c>
      <c r="H18" s="29" t="s">
        <v>3667</v>
      </c>
      <c r="J18" s="29" t="s">
        <v>3484</v>
      </c>
      <c r="K18" s="29">
        <v>2344</v>
      </c>
      <c r="L18" s="29" t="s">
        <v>277</v>
      </c>
      <c r="M18" s="2">
        <v>15</v>
      </c>
      <c r="N18" s="29"/>
      <c r="O18" s="29"/>
      <c r="Q18" s="2">
        <v>15</v>
      </c>
      <c r="R18" s="29"/>
      <c r="S18" s="29"/>
      <c r="AA18" s="29"/>
      <c r="AB18" s="29"/>
      <c r="AC18" s="29"/>
      <c r="AD18" s="29"/>
      <c r="AF18" s="29"/>
      <c r="AG18" s="29"/>
      <c r="AH18" s="29"/>
      <c r="AI18" s="29"/>
      <c r="AJ18" s="29"/>
      <c r="AK18" s="29"/>
      <c r="AL18" s="29"/>
      <c r="AM18" s="29"/>
      <c r="AQ18" s="2">
        <v>15</v>
      </c>
      <c r="AR18" s="29" t="s">
        <v>871</v>
      </c>
      <c r="AS18" s="29" t="s">
        <v>872</v>
      </c>
    </row>
    <row r="19" spans="2:45" x14ac:dyDescent="0.2">
      <c r="B19" s="2" t="s">
        <v>3565</v>
      </c>
      <c r="D19" s="2">
        <v>16</v>
      </c>
      <c r="E19" s="29" t="s">
        <v>3673</v>
      </c>
      <c r="F19" s="29">
        <v>199</v>
      </c>
      <c r="G19" s="29" t="s">
        <v>3668</v>
      </c>
      <c r="H19" s="29" t="s">
        <v>3667</v>
      </c>
      <c r="J19" s="29" t="s">
        <v>4276</v>
      </c>
      <c r="K19" s="29">
        <v>2445</v>
      </c>
      <c r="L19" s="29" t="s">
        <v>781</v>
      </c>
      <c r="M19" s="2">
        <v>16</v>
      </c>
      <c r="N19" s="29"/>
      <c r="O19" s="29"/>
      <c r="Q19" s="2">
        <v>16</v>
      </c>
      <c r="R19" s="29"/>
      <c r="S19" s="29"/>
      <c r="AA19" s="29"/>
      <c r="AB19" s="29"/>
      <c r="AC19" s="29"/>
      <c r="AD19" s="29"/>
      <c r="AF19" s="29"/>
      <c r="AG19" s="29"/>
      <c r="AH19" s="29"/>
      <c r="AI19" s="29"/>
      <c r="AJ19" s="29"/>
      <c r="AK19" s="29"/>
      <c r="AL19" s="29"/>
      <c r="AM19" s="29"/>
      <c r="AQ19" s="2">
        <v>16</v>
      </c>
      <c r="AR19" s="29" t="s">
        <v>873</v>
      </c>
      <c r="AS19" s="29" t="s">
        <v>874</v>
      </c>
    </row>
    <row r="20" spans="2:45" x14ac:dyDescent="0.2">
      <c r="B20" s="2" t="s">
        <v>3566</v>
      </c>
      <c r="D20" s="2">
        <v>17</v>
      </c>
      <c r="E20" s="29" t="s">
        <v>4343</v>
      </c>
      <c r="F20" s="29">
        <v>200</v>
      </c>
      <c r="G20" s="29" t="s">
        <v>3668</v>
      </c>
      <c r="H20" s="29" t="s">
        <v>3667</v>
      </c>
      <c r="J20" s="29" t="s">
        <v>2866</v>
      </c>
      <c r="K20" s="29">
        <v>2035</v>
      </c>
      <c r="L20" s="29" t="s">
        <v>2867</v>
      </c>
      <c r="M20" s="2">
        <v>17</v>
      </c>
      <c r="N20" s="29"/>
      <c r="O20" s="29"/>
      <c r="Q20" s="2">
        <v>17</v>
      </c>
      <c r="R20" s="29"/>
      <c r="S20" s="29"/>
      <c r="AA20" s="29"/>
      <c r="AB20" s="29"/>
      <c r="AC20" s="29"/>
      <c r="AD20" s="29"/>
      <c r="AF20" s="29"/>
      <c r="AG20" s="29"/>
      <c r="AH20" s="29"/>
      <c r="AI20" s="29"/>
      <c r="AJ20" s="29"/>
      <c r="AK20" s="29"/>
      <c r="AL20" s="29"/>
      <c r="AM20" s="29"/>
      <c r="AQ20" s="2">
        <v>17</v>
      </c>
      <c r="AR20" s="29" t="s">
        <v>875</v>
      </c>
      <c r="AS20" s="29" t="s">
        <v>876</v>
      </c>
    </row>
    <row r="21" spans="2:45" x14ac:dyDescent="0.2">
      <c r="B21" s="2" t="s">
        <v>3567</v>
      </c>
      <c r="D21" s="2">
        <v>18</v>
      </c>
      <c r="E21" s="29" t="s">
        <v>403</v>
      </c>
      <c r="F21" s="29">
        <v>201</v>
      </c>
      <c r="G21" s="29" t="s">
        <v>3668</v>
      </c>
      <c r="H21" s="29" t="s">
        <v>3667</v>
      </c>
      <c r="J21" s="29" t="s">
        <v>2868</v>
      </c>
      <c r="K21" s="29">
        <v>949</v>
      </c>
      <c r="L21" s="29" t="s">
        <v>32</v>
      </c>
      <c r="M21" s="2">
        <v>18</v>
      </c>
      <c r="N21" s="29"/>
      <c r="O21" s="29"/>
      <c r="Q21" s="2">
        <v>18</v>
      </c>
      <c r="R21" s="29"/>
      <c r="S21" s="29"/>
      <c r="AA21" s="29"/>
      <c r="AB21" s="29"/>
      <c r="AC21" s="29"/>
      <c r="AD21" s="29"/>
      <c r="AF21" s="29"/>
      <c r="AG21" s="29"/>
      <c r="AH21" s="29"/>
      <c r="AI21" s="29"/>
      <c r="AJ21" s="29"/>
      <c r="AK21" s="29"/>
      <c r="AL21" s="29"/>
      <c r="AM21" s="29"/>
      <c r="AQ21" s="2">
        <v>18</v>
      </c>
      <c r="AR21" s="29" t="s">
        <v>3064</v>
      </c>
      <c r="AS21" s="29" t="s">
        <v>3065</v>
      </c>
    </row>
    <row r="22" spans="2:45" x14ac:dyDescent="0.2">
      <c r="B22" s="2" t="s">
        <v>3568</v>
      </c>
      <c r="D22" s="2">
        <v>19</v>
      </c>
      <c r="E22" s="29" t="s">
        <v>3676</v>
      </c>
      <c r="F22" s="29">
        <v>202</v>
      </c>
      <c r="G22" s="29" t="s">
        <v>3668</v>
      </c>
      <c r="H22" s="29" t="s">
        <v>3667</v>
      </c>
      <c r="J22" s="29" t="s">
        <v>2869</v>
      </c>
      <c r="K22" s="29">
        <v>678</v>
      </c>
      <c r="L22" s="29" t="s">
        <v>32</v>
      </c>
      <c r="M22" s="2">
        <v>19</v>
      </c>
      <c r="N22" s="29"/>
      <c r="O22" s="29"/>
      <c r="Q22" s="2">
        <v>19</v>
      </c>
      <c r="R22" s="29"/>
      <c r="S22" s="29"/>
      <c r="AA22" s="29"/>
      <c r="AB22" s="29"/>
      <c r="AC22" s="29"/>
      <c r="AD22" s="29"/>
      <c r="AF22" s="29"/>
      <c r="AG22" s="29"/>
      <c r="AH22" s="29"/>
      <c r="AI22" s="29"/>
      <c r="AJ22" s="29"/>
      <c r="AK22" s="29"/>
      <c r="AL22" s="29"/>
      <c r="AM22" s="29"/>
      <c r="AQ22" s="2">
        <v>19</v>
      </c>
      <c r="AR22" s="29" t="s">
        <v>877</v>
      </c>
      <c r="AS22" s="29" t="s">
        <v>878</v>
      </c>
    </row>
    <row r="23" spans="2:45" x14ac:dyDescent="0.2">
      <c r="B23" s="2" t="s">
        <v>3569</v>
      </c>
      <c r="D23" s="2">
        <v>20</v>
      </c>
      <c r="E23" s="29" t="s">
        <v>3679</v>
      </c>
      <c r="F23" s="29">
        <v>203</v>
      </c>
      <c r="G23" s="29" t="s">
        <v>3668</v>
      </c>
      <c r="H23" s="29" t="s">
        <v>3667</v>
      </c>
      <c r="J23" s="29" t="s">
        <v>2870</v>
      </c>
      <c r="K23" s="29">
        <v>2089</v>
      </c>
      <c r="L23" s="29" t="s">
        <v>2871</v>
      </c>
      <c r="M23" s="2">
        <v>20</v>
      </c>
      <c r="N23" s="29"/>
      <c r="O23" s="29"/>
      <c r="Q23" s="2">
        <v>20</v>
      </c>
      <c r="R23" s="29"/>
      <c r="S23" s="29"/>
      <c r="AA23" s="29"/>
      <c r="AB23" s="29"/>
      <c r="AC23" s="29"/>
      <c r="AD23" s="29"/>
      <c r="AF23" s="29"/>
      <c r="AG23" s="29"/>
      <c r="AH23" s="29"/>
      <c r="AI23" s="29"/>
      <c r="AJ23" s="29"/>
      <c r="AK23" s="29"/>
      <c r="AL23" s="29"/>
      <c r="AM23" s="29"/>
      <c r="AQ23" s="2">
        <v>20</v>
      </c>
      <c r="AR23" s="29" t="s">
        <v>879</v>
      </c>
      <c r="AS23" s="29" t="s">
        <v>880</v>
      </c>
    </row>
    <row r="24" spans="2:45" x14ac:dyDescent="0.2">
      <c r="B24" s="2" t="s">
        <v>3570</v>
      </c>
      <c r="D24" s="2">
        <v>21</v>
      </c>
      <c r="E24" s="29"/>
      <c r="F24" s="29"/>
      <c r="G24" s="29"/>
      <c r="H24" s="29"/>
      <c r="J24" s="29" t="s">
        <v>4277</v>
      </c>
      <c r="K24" s="29">
        <v>2417</v>
      </c>
      <c r="L24" s="29" t="s">
        <v>781</v>
      </c>
      <c r="M24" s="2">
        <v>21</v>
      </c>
      <c r="N24" s="29"/>
      <c r="O24" s="29"/>
      <c r="Q24" s="2">
        <v>21</v>
      </c>
      <c r="R24" s="29"/>
      <c r="S24" s="29"/>
      <c r="AA24" s="29"/>
      <c r="AB24" s="29"/>
      <c r="AC24" s="29"/>
      <c r="AD24" s="29"/>
      <c r="AF24" s="29"/>
      <c r="AG24" s="29"/>
      <c r="AH24" s="29"/>
      <c r="AI24" s="29"/>
      <c r="AJ24" s="29"/>
      <c r="AK24" s="29"/>
      <c r="AL24" s="29"/>
      <c r="AM24" s="29"/>
      <c r="AQ24" s="2">
        <v>21</v>
      </c>
      <c r="AR24" s="29" t="s">
        <v>881</v>
      </c>
      <c r="AS24" s="29" t="s">
        <v>878</v>
      </c>
    </row>
    <row r="25" spans="2:45" x14ac:dyDescent="0.2">
      <c r="B25" s="2" t="s">
        <v>3571</v>
      </c>
      <c r="D25" s="2">
        <v>22</v>
      </c>
      <c r="E25" s="29"/>
      <c r="F25" s="29"/>
      <c r="G25" s="29"/>
      <c r="H25" s="29"/>
      <c r="J25" s="29" t="s">
        <v>3076</v>
      </c>
      <c r="K25" s="29">
        <v>2210</v>
      </c>
      <c r="L25" s="29" t="s">
        <v>1543</v>
      </c>
      <c r="M25" s="2">
        <v>22</v>
      </c>
      <c r="N25" s="29"/>
      <c r="O25" s="29"/>
      <c r="Q25" s="2">
        <v>22</v>
      </c>
      <c r="R25" s="29"/>
      <c r="S25" s="29"/>
      <c r="AA25" s="29"/>
      <c r="AB25" s="29"/>
      <c r="AC25" s="29"/>
      <c r="AD25" s="29"/>
      <c r="AF25" s="29"/>
      <c r="AG25" s="29"/>
      <c r="AH25" s="29"/>
      <c r="AI25" s="29"/>
      <c r="AJ25" s="29"/>
      <c r="AK25" s="29"/>
      <c r="AL25" s="29"/>
      <c r="AM25" s="29"/>
      <c r="AQ25" s="2">
        <v>22</v>
      </c>
      <c r="AR25" s="29" t="s">
        <v>882</v>
      </c>
      <c r="AS25" s="29" t="s">
        <v>883</v>
      </c>
    </row>
    <row r="26" spans="2:45" x14ac:dyDescent="0.2">
      <c r="B26" s="2" t="s">
        <v>3572</v>
      </c>
      <c r="D26" s="2">
        <v>23</v>
      </c>
      <c r="E26" s="29"/>
      <c r="F26" s="29"/>
      <c r="G26" s="29"/>
      <c r="H26" s="29"/>
      <c r="J26" s="29" t="s">
        <v>2872</v>
      </c>
      <c r="K26" s="29">
        <v>1739</v>
      </c>
      <c r="L26" s="29" t="s">
        <v>533</v>
      </c>
      <c r="M26" s="2">
        <v>23</v>
      </c>
      <c r="N26" s="29"/>
      <c r="O26" s="29"/>
      <c r="Q26" s="2">
        <v>23</v>
      </c>
      <c r="R26" s="29"/>
      <c r="S26" s="29"/>
      <c r="AA26" s="29"/>
      <c r="AB26" s="29"/>
      <c r="AC26" s="29"/>
      <c r="AD26" s="29"/>
      <c r="AF26" s="29"/>
      <c r="AG26" s="29"/>
      <c r="AH26" s="29"/>
      <c r="AI26" s="29"/>
      <c r="AJ26" s="29"/>
      <c r="AK26" s="29"/>
      <c r="AL26" s="29"/>
      <c r="AM26" s="29"/>
      <c r="AQ26" s="2">
        <v>23</v>
      </c>
      <c r="AR26" s="29" t="s">
        <v>884</v>
      </c>
      <c r="AS26" s="29" t="s">
        <v>883</v>
      </c>
    </row>
    <row r="27" spans="2:45" x14ac:dyDescent="0.2">
      <c r="B27" s="2" t="s">
        <v>3573</v>
      </c>
      <c r="D27" s="2">
        <v>24</v>
      </c>
      <c r="E27" s="29"/>
      <c r="F27" s="29"/>
      <c r="G27" s="29"/>
      <c r="H27" s="29"/>
      <c r="J27" s="29" t="s">
        <v>1544</v>
      </c>
      <c r="K27" s="29">
        <v>1525</v>
      </c>
      <c r="L27" s="29" t="s">
        <v>781</v>
      </c>
      <c r="M27" s="2">
        <v>24</v>
      </c>
      <c r="N27" s="29"/>
      <c r="O27" s="29"/>
      <c r="Q27" s="2">
        <v>24</v>
      </c>
      <c r="R27" s="29"/>
      <c r="S27" s="29"/>
      <c r="AA27" s="29"/>
      <c r="AB27" s="29"/>
      <c r="AC27" s="29"/>
      <c r="AD27" s="29"/>
      <c r="AQ27" s="2">
        <v>24</v>
      </c>
      <c r="AR27" s="29" t="s">
        <v>885</v>
      </c>
      <c r="AS27" s="29" t="s">
        <v>883</v>
      </c>
    </row>
    <row r="28" spans="2:45" x14ac:dyDescent="0.2">
      <c r="B28" s="2" t="s">
        <v>3574</v>
      </c>
      <c r="D28" s="2">
        <v>25</v>
      </c>
      <c r="E28" s="29"/>
      <c r="F28" s="29"/>
      <c r="G28" s="29"/>
      <c r="H28" s="29"/>
      <c r="J28" s="29" t="s">
        <v>4278</v>
      </c>
      <c r="K28" s="29">
        <v>2444</v>
      </c>
      <c r="L28" s="29" t="s">
        <v>4279</v>
      </c>
      <c r="M28" s="2">
        <v>25</v>
      </c>
      <c r="N28" s="29"/>
      <c r="O28" s="29"/>
      <c r="Q28" s="2">
        <v>25</v>
      </c>
      <c r="R28" s="29"/>
      <c r="S28" s="29"/>
      <c r="AA28" s="29"/>
      <c r="AB28" s="29"/>
      <c r="AC28" s="29"/>
      <c r="AD28" s="29"/>
      <c r="AQ28" s="2">
        <v>25</v>
      </c>
      <c r="AR28" s="29" t="s">
        <v>886</v>
      </c>
      <c r="AS28" s="29" t="s">
        <v>883</v>
      </c>
    </row>
    <row r="29" spans="2:45" x14ac:dyDescent="0.2">
      <c r="B29" s="2" t="s">
        <v>3575</v>
      </c>
      <c r="D29" s="2">
        <v>26</v>
      </c>
      <c r="E29" s="29"/>
      <c r="F29" s="29"/>
      <c r="G29" s="29"/>
      <c r="H29" s="29"/>
      <c r="J29" s="29" t="s">
        <v>3067</v>
      </c>
      <c r="K29" s="29">
        <v>2200</v>
      </c>
      <c r="L29" s="29" t="s">
        <v>659</v>
      </c>
      <c r="AA29" s="29"/>
      <c r="AB29" s="29"/>
      <c r="AC29" s="29"/>
      <c r="AD29" s="29"/>
      <c r="AQ29" s="2">
        <v>26</v>
      </c>
      <c r="AR29" s="29" t="s">
        <v>887</v>
      </c>
      <c r="AS29" s="29" t="s">
        <v>883</v>
      </c>
    </row>
    <row r="30" spans="2:45" x14ac:dyDescent="0.2">
      <c r="B30" s="2" t="s">
        <v>3576</v>
      </c>
      <c r="D30" s="2">
        <v>27</v>
      </c>
      <c r="E30" s="29"/>
      <c r="F30" s="29"/>
      <c r="G30" s="29"/>
      <c r="H30" s="29"/>
      <c r="J30" s="29" t="s">
        <v>3485</v>
      </c>
      <c r="K30" s="29">
        <v>2276</v>
      </c>
      <c r="L30" s="29" t="s">
        <v>277</v>
      </c>
      <c r="AA30" s="29"/>
      <c r="AB30" s="29"/>
      <c r="AC30" s="29"/>
      <c r="AD30" s="29"/>
      <c r="AQ30" s="2">
        <v>27</v>
      </c>
      <c r="AR30" s="29" t="s">
        <v>888</v>
      </c>
      <c r="AS30" s="29" t="s">
        <v>883</v>
      </c>
    </row>
    <row r="31" spans="2:45" x14ac:dyDescent="0.2">
      <c r="B31" s="2" t="s">
        <v>3577</v>
      </c>
      <c r="D31" s="2">
        <v>28</v>
      </c>
      <c r="E31" s="29"/>
      <c r="F31" s="29"/>
      <c r="G31" s="29"/>
      <c r="H31" s="29"/>
      <c r="J31" s="29" t="s">
        <v>3379</v>
      </c>
      <c r="K31" s="29">
        <v>2243</v>
      </c>
      <c r="L31" s="29" t="s">
        <v>625</v>
      </c>
      <c r="AA31" s="29"/>
      <c r="AB31" s="29"/>
      <c r="AC31" s="29"/>
      <c r="AD31" s="29"/>
      <c r="AQ31" s="2">
        <v>28</v>
      </c>
      <c r="AR31" s="29" t="s">
        <v>889</v>
      </c>
      <c r="AS31" s="29" t="s">
        <v>883</v>
      </c>
    </row>
    <row r="32" spans="2:45" x14ac:dyDescent="0.2">
      <c r="B32" s="2" t="s">
        <v>3578</v>
      </c>
      <c r="D32" s="2">
        <v>29</v>
      </c>
      <c r="E32" s="29"/>
      <c r="F32" s="29"/>
      <c r="G32" s="29"/>
      <c r="H32" s="29"/>
      <c r="J32" s="29" t="s">
        <v>660</v>
      </c>
      <c r="K32" s="29">
        <v>620</v>
      </c>
      <c r="L32" s="29" t="s">
        <v>658</v>
      </c>
      <c r="AA32" s="29"/>
      <c r="AB32" s="29"/>
      <c r="AC32" s="29"/>
      <c r="AD32" s="29"/>
      <c r="AQ32" s="2">
        <v>29</v>
      </c>
      <c r="AR32" s="29" t="s">
        <v>890</v>
      </c>
      <c r="AS32" s="29" t="s">
        <v>883</v>
      </c>
    </row>
    <row r="33" spans="2:45" x14ac:dyDescent="0.2">
      <c r="B33" s="2" t="s">
        <v>3579</v>
      </c>
      <c r="D33" s="2">
        <v>30</v>
      </c>
      <c r="E33" s="29"/>
      <c r="F33" s="29"/>
      <c r="G33" s="29"/>
      <c r="H33" s="29"/>
      <c r="J33" s="29" t="s">
        <v>3486</v>
      </c>
      <c r="K33" s="29">
        <v>2337</v>
      </c>
      <c r="L33" s="29" t="s">
        <v>3487</v>
      </c>
      <c r="AA33" s="29"/>
      <c r="AB33" s="29"/>
      <c r="AC33" s="29"/>
      <c r="AD33" s="29"/>
      <c r="AQ33" s="2">
        <v>30</v>
      </c>
      <c r="AR33" s="29" t="s">
        <v>891</v>
      </c>
      <c r="AS33" s="29" t="s">
        <v>892</v>
      </c>
    </row>
    <row r="34" spans="2:45" x14ac:dyDescent="0.2">
      <c r="B34" s="2" t="s">
        <v>3580</v>
      </c>
      <c r="D34" s="2">
        <v>31</v>
      </c>
      <c r="E34" s="29"/>
      <c r="F34" s="29"/>
      <c r="G34" s="29"/>
      <c r="H34" s="29"/>
      <c r="J34" s="29" t="s">
        <v>2873</v>
      </c>
      <c r="K34" s="29">
        <v>2045</v>
      </c>
      <c r="L34" s="29" t="s">
        <v>2874</v>
      </c>
      <c r="AA34" s="29"/>
      <c r="AB34" s="29"/>
      <c r="AC34" s="29"/>
      <c r="AD34" s="29"/>
      <c r="AQ34" s="2">
        <v>31</v>
      </c>
      <c r="AR34" s="29" t="s">
        <v>893</v>
      </c>
      <c r="AS34" s="29" t="s">
        <v>894</v>
      </c>
    </row>
    <row r="35" spans="2:45" x14ac:dyDescent="0.2">
      <c r="B35" s="2" t="s">
        <v>3581</v>
      </c>
      <c r="D35" s="2">
        <v>32</v>
      </c>
      <c r="E35" s="29"/>
      <c r="F35" s="29"/>
      <c r="G35" s="29"/>
      <c r="H35" s="29"/>
      <c r="J35" s="29" t="s">
        <v>3380</v>
      </c>
      <c r="K35" s="29">
        <v>2106</v>
      </c>
      <c r="L35" s="29" t="s">
        <v>3381</v>
      </c>
      <c r="AA35" s="29"/>
      <c r="AB35" s="29"/>
      <c r="AC35" s="29"/>
      <c r="AD35" s="29"/>
      <c r="AQ35" s="2">
        <v>32</v>
      </c>
      <c r="AR35" s="29" t="s">
        <v>895</v>
      </c>
      <c r="AS35" s="29" t="s">
        <v>896</v>
      </c>
    </row>
    <row r="36" spans="2:45" x14ac:dyDescent="0.2">
      <c r="B36" s="2" t="s">
        <v>3582</v>
      </c>
      <c r="D36" s="2">
        <v>33</v>
      </c>
      <c r="E36" s="29"/>
      <c r="F36" s="29"/>
      <c r="G36" s="29"/>
      <c r="H36" s="29"/>
      <c r="J36" s="29" t="s">
        <v>4280</v>
      </c>
      <c r="K36" s="29">
        <v>2435</v>
      </c>
      <c r="L36" s="29" t="s">
        <v>3381</v>
      </c>
      <c r="AA36" s="29"/>
      <c r="AB36" s="29"/>
      <c r="AC36" s="29"/>
      <c r="AD36" s="29"/>
      <c r="AQ36" s="2">
        <v>33</v>
      </c>
      <c r="AR36" s="29" t="s">
        <v>897</v>
      </c>
      <c r="AS36" s="29" t="s">
        <v>898</v>
      </c>
    </row>
    <row r="37" spans="2:45" x14ac:dyDescent="0.2">
      <c r="B37" s="2" t="s">
        <v>3583</v>
      </c>
      <c r="D37" s="2">
        <v>34</v>
      </c>
      <c r="E37" s="29"/>
      <c r="F37" s="29"/>
      <c r="G37" s="29"/>
      <c r="H37" s="29"/>
      <c r="J37" s="29" t="s">
        <v>782</v>
      </c>
      <c r="K37" s="29">
        <v>138</v>
      </c>
      <c r="L37" s="29" t="s">
        <v>783</v>
      </c>
      <c r="AA37" s="29"/>
      <c r="AB37" s="29"/>
      <c r="AC37" s="29"/>
      <c r="AD37" s="29"/>
      <c r="AQ37" s="2">
        <v>34</v>
      </c>
      <c r="AR37" s="29" t="s">
        <v>899</v>
      </c>
      <c r="AS37" s="29" t="s">
        <v>900</v>
      </c>
    </row>
    <row r="38" spans="2:45" x14ac:dyDescent="0.2">
      <c r="B38" s="2" t="s">
        <v>3584</v>
      </c>
      <c r="D38" s="2">
        <v>35</v>
      </c>
      <c r="E38" s="29"/>
      <c r="F38" s="29"/>
      <c r="G38" s="29"/>
      <c r="H38" s="29"/>
      <c r="J38" s="29" t="s">
        <v>3488</v>
      </c>
      <c r="K38" s="29">
        <v>2357</v>
      </c>
      <c r="L38" s="29" t="s">
        <v>32</v>
      </c>
      <c r="AA38" s="29"/>
      <c r="AB38" s="29"/>
      <c r="AC38" s="29"/>
      <c r="AD38" s="29"/>
      <c r="AQ38" s="2">
        <v>35</v>
      </c>
      <c r="AR38" s="29" t="s">
        <v>902</v>
      </c>
      <c r="AS38" s="29" t="s">
        <v>901</v>
      </c>
    </row>
    <row r="39" spans="2:45" x14ac:dyDescent="0.2">
      <c r="B39" s="2" t="s">
        <v>3685</v>
      </c>
      <c r="D39" s="2">
        <v>36</v>
      </c>
      <c r="E39" s="29"/>
      <c r="F39" s="29"/>
      <c r="G39" s="29"/>
      <c r="H39" s="29"/>
      <c r="J39" s="29" t="s">
        <v>3053</v>
      </c>
      <c r="K39" s="29">
        <v>2190</v>
      </c>
      <c r="L39" s="29" t="s">
        <v>400</v>
      </c>
      <c r="AA39" s="29"/>
      <c r="AB39" s="29"/>
      <c r="AC39" s="29"/>
      <c r="AD39" s="29"/>
      <c r="AQ39" s="2">
        <v>36</v>
      </c>
      <c r="AR39" s="29" t="s">
        <v>903</v>
      </c>
      <c r="AS39" s="29" t="s">
        <v>904</v>
      </c>
    </row>
    <row r="40" spans="2:45" x14ac:dyDescent="0.2">
      <c r="B40" s="2" t="s">
        <v>3686</v>
      </c>
      <c r="D40" s="2">
        <v>37</v>
      </c>
      <c r="E40" s="29"/>
      <c r="F40" s="29"/>
      <c r="G40" s="29"/>
      <c r="H40" s="29"/>
      <c r="J40" s="29" t="s">
        <v>3587</v>
      </c>
      <c r="K40" s="29">
        <v>2379</v>
      </c>
      <c r="L40" s="29" t="s">
        <v>618</v>
      </c>
      <c r="AA40" s="29"/>
      <c r="AB40" s="29"/>
      <c r="AC40" s="29"/>
      <c r="AD40" s="29"/>
      <c r="AQ40" s="2">
        <v>37</v>
      </c>
      <c r="AR40" s="29" t="s">
        <v>905</v>
      </c>
      <c r="AS40" s="29" t="s">
        <v>906</v>
      </c>
    </row>
    <row r="41" spans="2:45" x14ac:dyDescent="0.2">
      <c r="B41" s="2" t="s">
        <v>3687</v>
      </c>
      <c r="D41" s="2">
        <v>38</v>
      </c>
      <c r="E41" s="29"/>
      <c r="F41" s="29"/>
      <c r="G41" s="29"/>
      <c r="H41" s="29"/>
      <c r="J41" s="29" t="s">
        <v>3588</v>
      </c>
      <c r="K41" s="29">
        <v>2380</v>
      </c>
      <c r="L41" s="29" t="s">
        <v>618</v>
      </c>
      <c r="AA41" s="29"/>
      <c r="AB41" s="29"/>
      <c r="AC41" s="29"/>
      <c r="AD41" s="29"/>
      <c r="AQ41" s="2">
        <v>38</v>
      </c>
      <c r="AR41" s="29" t="s">
        <v>1597</v>
      </c>
      <c r="AS41" s="29" t="s">
        <v>1598</v>
      </c>
    </row>
    <row r="42" spans="2:45" x14ac:dyDescent="0.2">
      <c r="B42" s="2" t="s">
        <v>3688</v>
      </c>
      <c r="D42" s="2">
        <v>39</v>
      </c>
      <c r="E42" s="29"/>
      <c r="F42" s="29"/>
      <c r="G42" s="29"/>
      <c r="H42" s="29"/>
      <c r="J42" s="29" t="s">
        <v>3589</v>
      </c>
      <c r="K42" s="29">
        <v>2381</v>
      </c>
      <c r="L42" s="29" t="s">
        <v>618</v>
      </c>
      <c r="AA42" s="29"/>
      <c r="AB42" s="29"/>
      <c r="AC42" s="29"/>
      <c r="AD42" s="29"/>
      <c r="AQ42" s="2">
        <v>39</v>
      </c>
      <c r="AR42" s="29" t="s">
        <v>907</v>
      </c>
      <c r="AS42" s="29" t="s">
        <v>908</v>
      </c>
    </row>
    <row r="43" spans="2:45" x14ac:dyDescent="0.2">
      <c r="B43" s="2" t="s">
        <v>3689</v>
      </c>
      <c r="D43" s="2">
        <v>40</v>
      </c>
      <c r="E43" s="29"/>
      <c r="F43" s="29"/>
      <c r="G43" s="29"/>
      <c r="H43" s="29"/>
      <c r="J43" s="29" t="s">
        <v>3590</v>
      </c>
      <c r="K43" s="29">
        <v>2382</v>
      </c>
      <c r="L43" s="29" t="s">
        <v>618</v>
      </c>
      <c r="AA43" s="29"/>
      <c r="AB43" s="29"/>
      <c r="AC43" s="29"/>
      <c r="AD43" s="29"/>
      <c r="AQ43" s="2">
        <v>40</v>
      </c>
      <c r="AR43" s="29" t="s">
        <v>910</v>
      </c>
      <c r="AS43" s="29" t="s">
        <v>911</v>
      </c>
    </row>
    <row r="44" spans="2:45" x14ac:dyDescent="0.2">
      <c r="B44" s="2" t="s">
        <v>3690</v>
      </c>
      <c r="D44" s="2">
        <v>41</v>
      </c>
      <c r="E44" s="29"/>
      <c r="F44" s="29"/>
      <c r="G44" s="29"/>
      <c r="H44" s="29"/>
      <c r="J44" s="29" t="s">
        <v>662</v>
      </c>
      <c r="K44" s="29">
        <v>704</v>
      </c>
      <c r="L44" s="29" t="s">
        <v>663</v>
      </c>
      <c r="AA44" s="29"/>
      <c r="AB44" s="29"/>
      <c r="AC44" s="29"/>
      <c r="AD44" s="29"/>
      <c r="AQ44" s="2">
        <v>41</v>
      </c>
      <c r="AR44" s="29" t="s">
        <v>3402</v>
      </c>
      <c r="AS44" s="29" t="s">
        <v>3403</v>
      </c>
    </row>
    <row r="45" spans="2:45" x14ac:dyDescent="0.2">
      <c r="B45" s="2" t="s">
        <v>3691</v>
      </c>
      <c r="D45" s="2">
        <v>42</v>
      </c>
      <c r="E45" s="29"/>
      <c r="F45" s="29"/>
      <c r="G45" s="29"/>
      <c r="H45" s="29"/>
      <c r="J45" s="29" t="s">
        <v>2876</v>
      </c>
      <c r="K45" s="29">
        <v>2137</v>
      </c>
      <c r="L45" s="29" t="s">
        <v>2877</v>
      </c>
      <c r="AA45" s="29"/>
      <c r="AB45" s="29"/>
      <c r="AC45" s="29"/>
      <c r="AD45" s="29"/>
      <c r="AQ45" s="2">
        <v>42</v>
      </c>
      <c r="AR45" s="29" t="s">
        <v>912</v>
      </c>
      <c r="AS45" s="29" t="s">
        <v>913</v>
      </c>
    </row>
    <row r="46" spans="2:45" x14ac:dyDescent="0.2">
      <c r="B46" s="2" t="s">
        <v>3692</v>
      </c>
      <c r="D46" s="2">
        <v>43</v>
      </c>
      <c r="E46" s="29"/>
      <c r="F46" s="29"/>
      <c r="G46" s="29"/>
      <c r="H46" s="29"/>
      <c r="J46" s="29" t="s">
        <v>3068</v>
      </c>
      <c r="K46" s="29">
        <v>2204</v>
      </c>
      <c r="L46" s="29" t="s">
        <v>3069</v>
      </c>
      <c r="AA46" s="29"/>
      <c r="AB46" s="29"/>
      <c r="AC46" s="29"/>
      <c r="AD46" s="29"/>
      <c r="AQ46" s="2">
        <v>43</v>
      </c>
      <c r="AR46" s="29" t="s">
        <v>914</v>
      </c>
      <c r="AS46" s="29" t="s">
        <v>915</v>
      </c>
    </row>
    <row r="47" spans="2:45" x14ac:dyDescent="0.2">
      <c r="B47" s="2" t="s">
        <v>3693</v>
      </c>
      <c r="D47" s="2">
        <v>44</v>
      </c>
      <c r="E47" s="29"/>
      <c r="F47" s="29"/>
      <c r="G47" s="29"/>
      <c r="H47" s="29"/>
      <c r="J47" s="29" t="s">
        <v>3591</v>
      </c>
      <c r="K47" s="29">
        <v>2408</v>
      </c>
      <c r="L47" s="29" t="s">
        <v>569</v>
      </c>
      <c r="AA47" s="29"/>
      <c r="AB47" s="29"/>
      <c r="AC47" s="29"/>
      <c r="AD47" s="29"/>
      <c r="AQ47" s="2">
        <v>44</v>
      </c>
      <c r="AR47" s="29" t="s">
        <v>916</v>
      </c>
      <c r="AS47" s="29" t="s">
        <v>917</v>
      </c>
    </row>
    <row r="48" spans="2:45" x14ac:dyDescent="0.2">
      <c r="B48" s="2" t="s">
        <v>3694</v>
      </c>
      <c r="D48" s="2">
        <v>45</v>
      </c>
      <c r="E48" s="29"/>
      <c r="F48" s="29"/>
      <c r="G48" s="29"/>
      <c r="H48" s="29"/>
      <c r="J48" s="29" t="s">
        <v>3489</v>
      </c>
      <c r="K48" s="29">
        <v>2348</v>
      </c>
      <c r="L48" s="29" t="s">
        <v>2877</v>
      </c>
      <c r="AA48" s="29"/>
      <c r="AB48" s="29"/>
      <c r="AC48" s="29"/>
      <c r="AD48" s="29"/>
      <c r="AQ48" s="2">
        <v>45</v>
      </c>
      <c r="AR48" s="29" t="s">
        <v>918</v>
      </c>
      <c r="AS48" s="29" t="s">
        <v>919</v>
      </c>
    </row>
    <row r="49" spans="2:45" x14ac:dyDescent="0.2">
      <c r="B49" s="2" t="s">
        <v>3695</v>
      </c>
      <c r="D49" s="2">
        <v>46</v>
      </c>
      <c r="E49" s="29"/>
      <c r="F49" s="29"/>
      <c r="G49" s="29"/>
      <c r="H49" s="29"/>
      <c r="J49" s="29" t="s">
        <v>1546</v>
      </c>
      <c r="K49" s="29">
        <v>1628</v>
      </c>
      <c r="L49" s="29" t="s">
        <v>1547</v>
      </c>
      <c r="AA49" s="29"/>
      <c r="AB49" s="29"/>
      <c r="AC49" s="29"/>
      <c r="AD49" s="29"/>
      <c r="AQ49" s="2">
        <v>46</v>
      </c>
      <c r="AR49" s="29" t="s">
        <v>920</v>
      </c>
      <c r="AS49" s="29" t="s">
        <v>921</v>
      </c>
    </row>
    <row r="50" spans="2:45" x14ac:dyDescent="0.2">
      <c r="B50" s="2" t="s">
        <v>3696</v>
      </c>
      <c r="D50" s="2">
        <v>47</v>
      </c>
      <c r="E50" s="29"/>
      <c r="F50" s="29"/>
      <c r="G50" s="29"/>
      <c r="H50" s="29"/>
      <c r="J50" s="29" t="s">
        <v>2878</v>
      </c>
      <c r="K50" s="29">
        <v>2042</v>
      </c>
      <c r="L50" s="29" t="s">
        <v>786</v>
      </c>
      <c r="AA50" s="29"/>
      <c r="AB50" s="29"/>
      <c r="AC50" s="29"/>
      <c r="AD50" s="29"/>
      <c r="AQ50" s="2">
        <v>47</v>
      </c>
      <c r="AR50" s="29" t="s">
        <v>922</v>
      </c>
      <c r="AS50" s="29" t="s">
        <v>923</v>
      </c>
    </row>
    <row r="51" spans="2:45" x14ac:dyDescent="0.2">
      <c r="B51" s="2" t="s">
        <v>3697</v>
      </c>
      <c r="D51" s="2">
        <v>48</v>
      </c>
      <c r="E51" s="29"/>
      <c r="F51" s="29"/>
      <c r="G51" s="29"/>
      <c r="H51" s="29"/>
      <c r="J51" s="29" t="s">
        <v>3490</v>
      </c>
      <c r="K51" s="29">
        <v>2272</v>
      </c>
      <c r="L51" s="29" t="s">
        <v>3491</v>
      </c>
      <c r="AA51" s="29"/>
      <c r="AB51" s="29"/>
      <c r="AC51" s="29"/>
      <c r="AD51" s="29"/>
      <c r="AQ51" s="2">
        <v>48</v>
      </c>
      <c r="AR51" s="29" t="s">
        <v>924</v>
      </c>
      <c r="AS51" s="29" t="s">
        <v>925</v>
      </c>
    </row>
    <row r="52" spans="2:45" x14ac:dyDescent="0.2">
      <c r="B52" s="2" t="s">
        <v>3698</v>
      </c>
      <c r="D52" s="2">
        <v>49</v>
      </c>
      <c r="E52" s="29"/>
      <c r="F52" s="29"/>
      <c r="G52" s="29"/>
      <c r="H52" s="29"/>
      <c r="J52" s="29" t="s">
        <v>664</v>
      </c>
      <c r="K52" s="29">
        <v>1418</v>
      </c>
      <c r="L52" s="29" t="s">
        <v>786</v>
      </c>
      <c r="AA52" s="29"/>
      <c r="AB52" s="29"/>
      <c r="AC52" s="29"/>
      <c r="AD52" s="29"/>
      <c r="AQ52" s="2">
        <v>49</v>
      </c>
      <c r="AR52" s="29" t="s">
        <v>926</v>
      </c>
      <c r="AS52" s="29" t="s">
        <v>927</v>
      </c>
    </row>
    <row r="53" spans="2:45" x14ac:dyDescent="0.2">
      <c r="B53" s="2" t="s">
        <v>3699</v>
      </c>
      <c r="D53" s="2">
        <v>50</v>
      </c>
      <c r="E53" s="29"/>
      <c r="F53" s="29"/>
      <c r="G53" s="29"/>
      <c r="H53" s="29"/>
      <c r="J53" s="29" t="s">
        <v>665</v>
      </c>
      <c r="K53" s="29">
        <v>689</v>
      </c>
      <c r="L53" s="29" t="s">
        <v>666</v>
      </c>
      <c r="AA53" s="29"/>
      <c r="AB53" s="29"/>
      <c r="AC53" s="29"/>
      <c r="AD53" s="29"/>
      <c r="AQ53" s="2">
        <v>50</v>
      </c>
      <c r="AR53" s="29" t="s">
        <v>928</v>
      </c>
      <c r="AS53" s="29" t="s">
        <v>929</v>
      </c>
    </row>
    <row r="54" spans="2:45" x14ac:dyDescent="0.2">
      <c r="B54" s="2" t="s">
        <v>3700</v>
      </c>
      <c r="J54" s="29" t="s">
        <v>4281</v>
      </c>
      <c r="K54" s="29">
        <v>2433</v>
      </c>
      <c r="L54" s="29" t="s">
        <v>661</v>
      </c>
      <c r="AA54" s="29"/>
      <c r="AB54" s="29"/>
      <c r="AC54" s="29"/>
      <c r="AD54" s="29"/>
      <c r="AQ54" s="2">
        <v>51</v>
      </c>
      <c r="AR54" s="29" t="s">
        <v>930</v>
      </c>
      <c r="AS54" s="29" t="s">
        <v>931</v>
      </c>
    </row>
    <row r="55" spans="2:45" x14ac:dyDescent="0.2">
      <c r="B55" s="2" t="s">
        <v>3701</v>
      </c>
      <c r="J55" s="29" t="s">
        <v>2850</v>
      </c>
      <c r="K55" s="29">
        <v>314</v>
      </c>
      <c r="L55" s="29" t="s">
        <v>2851</v>
      </c>
      <c r="AA55" s="29"/>
      <c r="AB55" s="29"/>
      <c r="AC55" s="29"/>
      <c r="AD55" s="29"/>
      <c r="AQ55" s="2">
        <v>52</v>
      </c>
      <c r="AR55" s="29" t="s">
        <v>932</v>
      </c>
      <c r="AS55" s="29" t="s">
        <v>933</v>
      </c>
    </row>
    <row r="56" spans="2:45" x14ac:dyDescent="0.2">
      <c r="B56" s="2" t="s">
        <v>3702</v>
      </c>
      <c r="J56" s="29" t="s">
        <v>3382</v>
      </c>
      <c r="K56" s="29">
        <v>2248</v>
      </c>
      <c r="L56" s="29" t="s">
        <v>3383</v>
      </c>
      <c r="AA56" s="29"/>
      <c r="AB56" s="29"/>
      <c r="AC56" s="29"/>
      <c r="AD56" s="29"/>
      <c r="AQ56" s="2">
        <v>53</v>
      </c>
      <c r="AR56" s="29" t="s">
        <v>934</v>
      </c>
      <c r="AS56" s="29" t="s">
        <v>935</v>
      </c>
    </row>
    <row r="57" spans="2:45" x14ac:dyDescent="0.2">
      <c r="B57" s="2" t="s">
        <v>3703</v>
      </c>
      <c r="J57" s="29" t="s">
        <v>2879</v>
      </c>
      <c r="K57" s="29">
        <v>1989</v>
      </c>
      <c r="L57" s="29" t="s">
        <v>303</v>
      </c>
      <c r="AA57" s="29"/>
      <c r="AB57" s="29"/>
      <c r="AC57" s="29"/>
      <c r="AD57" s="29"/>
      <c r="AQ57" s="2">
        <v>54</v>
      </c>
      <c r="AR57" s="29" t="s">
        <v>936</v>
      </c>
      <c r="AS57" s="29" t="s">
        <v>851</v>
      </c>
    </row>
    <row r="58" spans="2:45" x14ac:dyDescent="0.2">
      <c r="B58" s="2" t="s">
        <v>3704</v>
      </c>
      <c r="J58" s="29" t="s">
        <v>3592</v>
      </c>
      <c r="K58" s="29">
        <v>2366</v>
      </c>
      <c r="L58" s="29" t="s">
        <v>3593</v>
      </c>
      <c r="AA58" s="29"/>
      <c r="AB58" s="29"/>
      <c r="AC58" s="29"/>
      <c r="AD58" s="29"/>
      <c r="AQ58" s="2">
        <v>55</v>
      </c>
      <c r="AR58" s="29" t="s">
        <v>937</v>
      </c>
      <c r="AS58" s="29" t="s">
        <v>938</v>
      </c>
    </row>
    <row r="59" spans="2:45" x14ac:dyDescent="0.2">
      <c r="B59" s="2" t="s">
        <v>3705</v>
      </c>
      <c r="J59" s="29" t="s">
        <v>2880</v>
      </c>
      <c r="K59" s="29">
        <v>1728</v>
      </c>
      <c r="L59" s="29" t="s">
        <v>2881</v>
      </c>
      <c r="AA59" s="29"/>
      <c r="AB59" s="29"/>
      <c r="AC59" s="29"/>
      <c r="AD59" s="29"/>
      <c r="AQ59" s="2">
        <v>56</v>
      </c>
      <c r="AR59" s="29" t="s">
        <v>939</v>
      </c>
      <c r="AS59" s="29" t="s">
        <v>940</v>
      </c>
    </row>
    <row r="60" spans="2:45" x14ac:dyDescent="0.2">
      <c r="B60" s="2" t="s">
        <v>3706</v>
      </c>
      <c r="J60" s="29" t="s">
        <v>667</v>
      </c>
      <c r="K60" s="29">
        <v>1057</v>
      </c>
      <c r="L60" s="29" t="s">
        <v>668</v>
      </c>
      <c r="AA60" s="29"/>
      <c r="AB60" s="29"/>
      <c r="AC60" s="29"/>
      <c r="AD60" s="29"/>
      <c r="AQ60" s="2">
        <v>57</v>
      </c>
      <c r="AR60" s="29" t="s">
        <v>941</v>
      </c>
      <c r="AS60" s="29" t="s">
        <v>942</v>
      </c>
    </row>
    <row r="61" spans="2:45" x14ac:dyDescent="0.2">
      <c r="B61" s="2" t="s">
        <v>3707</v>
      </c>
      <c r="J61" s="29" t="s">
        <v>3594</v>
      </c>
      <c r="K61" s="29">
        <v>2373</v>
      </c>
      <c r="L61" s="29" t="s">
        <v>2877</v>
      </c>
      <c r="AA61" s="29"/>
      <c r="AB61" s="29"/>
      <c r="AC61" s="29"/>
      <c r="AD61" s="29"/>
      <c r="AQ61" s="2">
        <v>58</v>
      </c>
      <c r="AR61" s="29" t="s">
        <v>943</v>
      </c>
      <c r="AS61" s="29" t="s">
        <v>944</v>
      </c>
    </row>
    <row r="62" spans="2:45" x14ac:dyDescent="0.2">
      <c r="B62" s="2" t="s">
        <v>3708</v>
      </c>
      <c r="J62" s="29" t="s">
        <v>3194</v>
      </c>
      <c r="K62" s="29">
        <v>2233</v>
      </c>
      <c r="L62" s="29" t="s">
        <v>3195</v>
      </c>
      <c r="AA62" s="29"/>
      <c r="AB62" s="29"/>
      <c r="AC62" s="29"/>
      <c r="AD62" s="29"/>
      <c r="AQ62" s="2">
        <v>59</v>
      </c>
      <c r="AR62" s="29" t="s">
        <v>3128</v>
      </c>
      <c r="AS62" s="29" t="s">
        <v>3129</v>
      </c>
    </row>
    <row r="63" spans="2:45" x14ac:dyDescent="0.2">
      <c r="B63" s="2" t="s">
        <v>3709</v>
      </c>
      <c r="J63" s="29" t="s">
        <v>669</v>
      </c>
      <c r="K63" s="29">
        <v>536</v>
      </c>
      <c r="L63" s="29" t="s">
        <v>784</v>
      </c>
      <c r="AA63" s="29"/>
      <c r="AB63" s="29"/>
      <c r="AC63" s="29"/>
      <c r="AD63" s="29"/>
      <c r="AQ63" s="2">
        <v>60</v>
      </c>
      <c r="AR63" s="29" t="s">
        <v>945</v>
      </c>
      <c r="AS63" s="29" t="s">
        <v>892</v>
      </c>
    </row>
    <row r="64" spans="2:45" x14ac:dyDescent="0.2">
      <c r="B64" s="2" t="s">
        <v>3710</v>
      </c>
      <c r="J64" s="29" t="s">
        <v>670</v>
      </c>
      <c r="K64" s="29">
        <v>365</v>
      </c>
      <c r="L64" s="29" t="s">
        <v>569</v>
      </c>
      <c r="AA64" s="29"/>
      <c r="AB64" s="29"/>
      <c r="AC64" s="29"/>
      <c r="AD64" s="29"/>
      <c r="AQ64" s="2">
        <v>61</v>
      </c>
      <c r="AR64" s="29" t="s">
        <v>3404</v>
      </c>
      <c r="AS64" s="29" t="s">
        <v>3405</v>
      </c>
    </row>
    <row r="65" spans="2:45" x14ac:dyDescent="0.2">
      <c r="B65" s="2" t="s">
        <v>3711</v>
      </c>
      <c r="J65" s="29" t="s">
        <v>1548</v>
      </c>
      <c r="K65" s="29">
        <v>1555</v>
      </c>
      <c r="L65" s="29" t="s">
        <v>786</v>
      </c>
      <c r="AA65" s="29"/>
      <c r="AB65" s="29"/>
      <c r="AC65" s="29"/>
      <c r="AD65" s="29"/>
      <c r="AQ65" s="2">
        <v>62</v>
      </c>
      <c r="AR65" s="29" t="s">
        <v>946</v>
      </c>
      <c r="AS65" s="29" t="s">
        <v>947</v>
      </c>
    </row>
    <row r="66" spans="2:45" x14ac:dyDescent="0.2">
      <c r="B66" s="2" t="s">
        <v>3712</v>
      </c>
      <c r="J66" s="29" t="s">
        <v>4282</v>
      </c>
      <c r="K66" s="29">
        <v>2446</v>
      </c>
      <c r="L66" s="29" t="s">
        <v>4283</v>
      </c>
      <c r="AA66" s="29"/>
      <c r="AB66" s="29"/>
      <c r="AC66" s="29"/>
      <c r="AD66" s="29"/>
      <c r="AQ66" s="2">
        <v>63</v>
      </c>
      <c r="AR66" s="29" t="s">
        <v>948</v>
      </c>
      <c r="AS66" s="29" t="s">
        <v>947</v>
      </c>
    </row>
    <row r="67" spans="2:45" x14ac:dyDescent="0.2">
      <c r="B67" s="2" t="s">
        <v>3713</v>
      </c>
      <c r="J67" s="29" t="s">
        <v>2882</v>
      </c>
      <c r="K67" s="29">
        <v>1345</v>
      </c>
      <c r="L67" s="29" t="s">
        <v>2883</v>
      </c>
      <c r="AA67" s="29"/>
      <c r="AB67" s="29"/>
      <c r="AC67" s="29"/>
      <c r="AD67" s="29"/>
      <c r="AQ67" s="2">
        <v>64</v>
      </c>
      <c r="AR67" s="29" t="s">
        <v>949</v>
      </c>
      <c r="AS67" s="29" t="s">
        <v>947</v>
      </c>
    </row>
    <row r="68" spans="2:45" x14ac:dyDescent="0.2">
      <c r="B68" s="2" t="s">
        <v>3714</v>
      </c>
      <c r="J68" s="29" t="s">
        <v>3492</v>
      </c>
      <c r="K68" s="29">
        <v>970</v>
      </c>
      <c r="L68" s="29" t="s">
        <v>1545</v>
      </c>
      <c r="AA68" s="29"/>
      <c r="AB68" s="29"/>
      <c r="AC68" s="29"/>
      <c r="AD68" s="29"/>
      <c r="AQ68" s="2">
        <v>65</v>
      </c>
      <c r="AR68" s="29" t="s">
        <v>950</v>
      </c>
      <c r="AS68" s="29" t="s">
        <v>947</v>
      </c>
    </row>
    <row r="69" spans="2:45" x14ac:dyDescent="0.2">
      <c r="B69" s="2" t="s">
        <v>3715</v>
      </c>
      <c r="J69" s="29" t="s">
        <v>2884</v>
      </c>
      <c r="K69" s="29">
        <v>2048</v>
      </c>
      <c r="L69" s="29" t="s">
        <v>661</v>
      </c>
      <c r="AA69" s="29"/>
      <c r="AB69" s="29"/>
      <c r="AC69" s="29"/>
      <c r="AD69" s="29"/>
      <c r="AQ69" s="2">
        <v>66</v>
      </c>
      <c r="AR69" s="29" t="s">
        <v>951</v>
      </c>
      <c r="AS69" s="29" t="s">
        <v>947</v>
      </c>
    </row>
    <row r="70" spans="2:45" x14ac:dyDescent="0.2">
      <c r="B70" s="2" t="s">
        <v>3716</v>
      </c>
      <c r="J70" s="29" t="s">
        <v>2885</v>
      </c>
      <c r="K70" s="29">
        <v>2087</v>
      </c>
      <c r="L70" s="29" t="s">
        <v>569</v>
      </c>
      <c r="AA70" s="29"/>
      <c r="AB70" s="29"/>
      <c r="AC70" s="29"/>
      <c r="AD70" s="29"/>
      <c r="AQ70" s="2">
        <v>67</v>
      </c>
      <c r="AR70" s="29" t="s">
        <v>952</v>
      </c>
      <c r="AS70" s="29" t="s">
        <v>953</v>
      </c>
    </row>
    <row r="71" spans="2:45" x14ac:dyDescent="0.2">
      <c r="B71" s="2" t="s">
        <v>3717</v>
      </c>
      <c r="J71" s="29" t="s">
        <v>3595</v>
      </c>
      <c r="K71" s="29">
        <v>2403</v>
      </c>
      <c r="L71" s="29" t="s">
        <v>97</v>
      </c>
      <c r="AA71" s="29"/>
      <c r="AB71" s="29"/>
      <c r="AC71" s="29"/>
      <c r="AD71" s="29"/>
      <c r="AQ71" s="2">
        <v>68</v>
      </c>
      <c r="AR71" s="29" t="s">
        <v>954</v>
      </c>
      <c r="AS71" s="29" t="s">
        <v>947</v>
      </c>
    </row>
    <row r="72" spans="2:45" x14ac:dyDescent="0.2">
      <c r="B72" s="2" t="s">
        <v>3718</v>
      </c>
      <c r="J72" s="29" t="s">
        <v>3054</v>
      </c>
      <c r="K72" s="29">
        <v>2193</v>
      </c>
      <c r="L72" s="29" t="s">
        <v>1549</v>
      </c>
      <c r="AA72" s="29"/>
      <c r="AB72" s="29"/>
      <c r="AC72" s="29"/>
      <c r="AD72" s="29"/>
      <c r="AQ72" s="2">
        <v>69</v>
      </c>
      <c r="AR72" s="29" t="s">
        <v>955</v>
      </c>
      <c r="AS72" s="29" t="s">
        <v>956</v>
      </c>
    </row>
    <row r="73" spans="2:45" x14ac:dyDescent="0.2">
      <c r="B73" s="2" t="s">
        <v>3719</v>
      </c>
      <c r="J73" s="29" t="s">
        <v>2886</v>
      </c>
      <c r="K73" s="29">
        <v>2032</v>
      </c>
      <c r="L73" s="29" t="s">
        <v>2816</v>
      </c>
      <c r="AA73" s="29"/>
      <c r="AB73" s="29"/>
      <c r="AC73" s="29"/>
      <c r="AD73" s="29"/>
      <c r="AQ73" s="2">
        <v>70</v>
      </c>
      <c r="AR73" s="29" t="s">
        <v>957</v>
      </c>
      <c r="AS73" s="29" t="s">
        <v>947</v>
      </c>
    </row>
    <row r="74" spans="2:45" x14ac:dyDescent="0.2">
      <c r="B74" s="2" t="s">
        <v>3720</v>
      </c>
      <c r="J74" s="29" t="s">
        <v>2887</v>
      </c>
      <c r="K74" s="29">
        <v>1982</v>
      </c>
      <c r="L74" s="29" t="s">
        <v>673</v>
      </c>
      <c r="AA74" s="29"/>
      <c r="AB74" s="29"/>
      <c r="AC74" s="29"/>
      <c r="AD74" s="29"/>
      <c r="AQ74" s="2">
        <v>71</v>
      </c>
      <c r="AR74" s="29" t="s">
        <v>958</v>
      </c>
      <c r="AS74" s="29" t="s">
        <v>959</v>
      </c>
    </row>
    <row r="75" spans="2:45" x14ac:dyDescent="0.2">
      <c r="B75" s="2" t="s">
        <v>3721</v>
      </c>
      <c r="J75" s="29" t="s">
        <v>672</v>
      </c>
      <c r="K75" s="29">
        <v>719</v>
      </c>
      <c r="L75" s="29" t="s">
        <v>534</v>
      </c>
      <c r="AA75" s="29"/>
      <c r="AB75" s="29"/>
      <c r="AC75" s="29"/>
      <c r="AD75" s="29"/>
      <c r="AQ75" s="2">
        <v>72</v>
      </c>
      <c r="AR75" s="29" t="s">
        <v>960</v>
      </c>
      <c r="AS75" s="29" t="s">
        <v>961</v>
      </c>
    </row>
    <row r="76" spans="2:45" x14ac:dyDescent="0.2">
      <c r="B76" s="2" t="s">
        <v>3722</v>
      </c>
      <c r="J76" s="29" t="s">
        <v>2888</v>
      </c>
      <c r="K76" s="29">
        <v>189</v>
      </c>
      <c r="L76" s="29" t="s">
        <v>535</v>
      </c>
      <c r="AA76" s="29"/>
      <c r="AB76" s="29"/>
      <c r="AC76" s="29"/>
      <c r="AD76" s="29"/>
      <c r="AQ76" s="2">
        <v>73</v>
      </c>
      <c r="AR76" s="29" t="s">
        <v>962</v>
      </c>
      <c r="AS76" s="29" t="s">
        <v>963</v>
      </c>
    </row>
    <row r="77" spans="2:45" x14ac:dyDescent="0.2">
      <c r="B77" s="2" t="s">
        <v>3723</v>
      </c>
      <c r="J77" s="29" t="s">
        <v>2889</v>
      </c>
      <c r="K77" s="29">
        <v>2062</v>
      </c>
      <c r="L77" s="29" t="s">
        <v>2890</v>
      </c>
      <c r="AA77" s="29"/>
      <c r="AB77" s="29"/>
      <c r="AC77" s="29"/>
      <c r="AD77" s="29"/>
      <c r="AQ77" s="2">
        <v>74</v>
      </c>
      <c r="AR77" s="29" t="s">
        <v>964</v>
      </c>
      <c r="AS77" s="29" t="s">
        <v>965</v>
      </c>
    </row>
    <row r="78" spans="2:45" x14ac:dyDescent="0.2">
      <c r="B78" s="2" t="s">
        <v>3724</v>
      </c>
      <c r="J78" s="29" t="s">
        <v>3493</v>
      </c>
      <c r="K78" s="29">
        <v>1565</v>
      </c>
      <c r="L78" s="29" t="s">
        <v>1549</v>
      </c>
      <c r="AA78" s="29"/>
      <c r="AB78" s="29"/>
      <c r="AC78" s="29"/>
      <c r="AD78" s="29"/>
      <c r="AQ78" s="2">
        <v>75</v>
      </c>
      <c r="AR78" s="29" t="s">
        <v>966</v>
      </c>
      <c r="AS78" s="29" t="s">
        <v>967</v>
      </c>
    </row>
    <row r="79" spans="2:45" x14ac:dyDescent="0.2">
      <c r="B79" s="2" t="s">
        <v>3725</v>
      </c>
      <c r="J79" s="29" t="s">
        <v>3494</v>
      </c>
      <c r="K79" s="29">
        <v>2273</v>
      </c>
      <c r="L79" s="29" t="s">
        <v>1549</v>
      </c>
      <c r="AA79" s="29"/>
      <c r="AB79" s="29"/>
      <c r="AC79" s="29"/>
      <c r="AD79" s="29"/>
      <c r="AQ79" s="2">
        <v>76</v>
      </c>
      <c r="AR79" s="29" t="s">
        <v>968</v>
      </c>
      <c r="AS79" s="29" t="s">
        <v>969</v>
      </c>
    </row>
    <row r="80" spans="2:45" x14ac:dyDescent="0.2">
      <c r="B80" s="2" t="s">
        <v>3726</v>
      </c>
      <c r="J80" s="29" t="s">
        <v>1550</v>
      </c>
      <c r="K80" s="29">
        <v>1508</v>
      </c>
      <c r="L80" s="29" t="s">
        <v>671</v>
      </c>
      <c r="AA80" s="29"/>
      <c r="AB80" s="29"/>
      <c r="AC80" s="29"/>
      <c r="AD80" s="29"/>
      <c r="AQ80" s="2">
        <v>77</v>
      </c>
      <c r="AR80" s="29" t="s">
        <v>970</v>
      </c>
      <c r="AS80" s="29" t="s">
        <v>971</v>
      </c>
    </row>
    <row r="81" spans="2:45" x14ac:dyDescent="0.2">
      <c r="B81" s="2" t="s">
        <v>3727</v>
      </c>
      <c r="J81" s="29" t="s">
        <v>2891</v>
      </c>
      <c r="K81" s="29">
        <v>1727</v>
      </c>
      <c r="L81" s="29" t="s">
        <v>2892</v>
      </c>
      <c r="AA81" s="29"/>
      <c r="AB81" s="29"/>
      <c r="AC81" s="29"/>
      <c r="AD81" s="29"/>
      <c r="AQ81" s="2">
        <v>78</v>
      </c>
      <c r="AR81" s="29" t="s">
        <v>972</v>
      </c>
      <c r="AS81" s="29" t="s">
        <v>973</v>
      </c>
    </row>
    <row r="82" spans="2:45" x14ac:dyDescent="0.2">
      <c r="B82" s="2" t="s">
        <v>3728</v>
      </c>
      <c r="J82" s="29" t="s">
        <v>1551</v>
      </c>
      <c r="K82" s="29">
        <v>1438</v>
      </c>
      <c r="L82" s="29" t="s">
        <v>1552</v>
      </c>
      <c r="AA82" s="29"/>
      <c r="AB82" s="29"/>
      <c r="AC82" s="29"/>
      <c r="AD82" s="29"/>
      <c r="AQ82" s="2">
        <v>79</v>
      </c>
      <c r="AR82" s="29" t="s">
        <v>2738</v>
      </c>
      <c r="AS82" s="29" t="s">
        <v>2739</v>
      </c>
    </row>
    <row r="83" spans="2:45" x14ac:dyDescent="0.2">
      <c r="B83" s="2" t="s">
        <v>3729</v>
      </c>
      <c r="J83" s="29" t="s">
        <v>3596</v>
      </c>
      <c r="K83" s="29">
        <v>2375</v>
      </c>
      <c r="L83" s="29" t="s">
        <v>3496</v>
      </c>
      <c r="AA83" s="29"/>
      <c r="AB83" s="29"/>
      <c r="AC83" s="29"/>
      <c r="AD83" s="29"/>
      <c r="AQ83" s="2">
        <v>80</v>
      </c>
      <c r="AR83" s="29" t="s">
        <v>974</v>
      </c>
      <c r="AS83" s="29" t="s">
        <v>975</v>
      </c>
    </row>
    <row r="84" spans="2:45" x14ac:dyDescent="0.2">
      <c r="B84" s="2" t="s">
        <v>3730</v>
      </c>
      <c r="J84" s="29" t="s">
        <v>3495</v>
      </c>
      <c r="K84" s="29">
        <v>2281</v>
      </c>
      <c r="L84" s="29" t="s">
        <v>3496</v>
      </c>
      <c r="AA84" s="29"/>
      <c r="AB84" s="29"/>
      <c r="AC84" s="29"/>
      <c r="AD84" s="29"/>
      <c r="AQ84" s="2">
        <v>81</v>
      </c>
      <c r="AR84" s="29" t="s">
        <v>976</v>
      </c>
      <c r="AS84" s="29" t="s">
        <v>977</v>
      </c>
    </row>
    <row r="85" spans="2:45" x14ac:dyDescent="0.2">
      <c r="B85" s="2" t="s">
        <v>3731</v>
      </c>
      <c r="J85" s="29" t="s">
        <v>3497</v>
      </c>
      <c r="K85" s="29">
        <v>2280</v>
      </c>
      <c r="L85" s="29" t="s">
        <v>259</v>
      </c>
      <c r="AA85" s="29"/>
      <c r="AB85" s="29"/>
      <c r="AC85" s="29"/>
      <c r="AD85" s="29"/>
      <c r="AQ85" s="2">
        <v>82</v>
      </c>
      <c r="AR85" s="29" t="s">
        <v>978</v>
      </c>
      <c r="AS85" s="29" t="s">
        <v>979</v>
      </c>
    </row>
    <row r="86" spans="2:45" x14ac:dyDescent="0.2">
      <c r="B86" s="2" t="s">
        <v>3732</v>
      </c>
      <c r="J86" s="29" t="s">
        <v>3384</v>
      </c>
      <c r="K86" s="29">
        <v>2266</v>
      </c>
      <c r="L86" s="29" t="s">
        <v>2816</v>
      </c>
      <c r="AA86" s="29"/>
      <c r="AB86" s="29"/>
      <c r="AC86" s="29"/>
      <c r="AD86" s="29"/>
      <c r="AQ86" s="2">
        <v>83</v>
      </c>
      <c r="AR86" s="29" t="s">
        <v>980</v>
      </c>
      <c r="AS86" s="29" t="s">
        <v>981</v>
      </c>
    </row>
    <row r="87" spans="2:45" x14ac:dyDescent="0.2">
      <c r="B87" s="2" t="s">
        <v>3733</v>
      </c>
      <c r="J87" s="29" t="s">
        <v>401</v>
      </c>
      <c r="K87" s="29">
        <v>107</v>
      </c>
      <c r="L87" s="29" t="s">
        <v>402</v>
      </c>
      <c r="AA87" s="29"/>
      <c r="AB87" s="29"/>
      <c r="AC87" s="29"/>
      <c r="AD87" s="29"/>
      <c r="AQ87" s="2">
        <v>84</v>
      </c>
      <c r="AR87" s="29" t="s">
        <v>982</v>
      </c>
      <c r="AS87" s="29" t="s">
        <v>983</v>
      </c>
    </row>
    <row r="88" spans="2:45" x14ac:dyDescent="0.2">
      <c r="B88" s="2" t="s">
        <v>3734</v>
      </c>
      <c r="J88" s="29" t="s">
        <v>3498</v>
      </c>
      <c r="K88" s="29">
        <v>2297</v>
      </c>
      <c r="L88" s="29" t="s">
        <v>3499</v>
      </c>
      <c r="AA88" s="29"/>
      <c r="AB88" s="29"/>
      <c r="AC88" s="29"/>
      <c r="AD88" s="29"/>
      <c r="AQ88" s="2">
        <v>85</v>
      </c>
      <c r="AR88" s="29" t="s">
        <v>984</v>
      </c>
      <c r="AS88" s="29" t="s">
        <v>985</v>
      </c>
    </row>
    <row r="89" spans="2:45" x14ac:dyDescent="0.2">
      <c r="B89" s="2" t="s">
        <v>3735</v>
      </c>
      <c r="J89" s="29" t="s">
        <v>3597</v>
      </c>
      <c r="K89" s="29">
        <v>2367</v>
      </c>
      <c r="L89" s="29" t="s">
        <v>3598</v>
      </c>
      <c r="AA89" s="29"/>
      <c r="AB89" s="29"/>
      <c r="AC89" s="29"/>
      <c r="AD89" s="29"/>
      <c r="AQ89" s="2">
        <v>86</v>
      </c>
      <c r="AR89" s="29" t="s">
        <v>986</v>
      </c>
      <c r="AS89" s="29" t="s">
        <v>987</v>
      </c>
    </row>
    <row r="90" spans="2:45" x14ac:dyDescent="0.2">
      <c r="B90" s="2" t="s">
        <v>3736</v>
      </c>
      <c r="J90" s="29" t="s">
        <v>674</v>
      </c>
      <c r="K90" s="29">
        <v>1335</v>
      </c>
      <c r="L90" s="29" t="s">
        <v>675</v>
      </c>
      <c r="AA90" s="29"/>
      <c r="AB90" s="29"/>
      <c r="AC90" s="29"/>
      <c r="AD90" s="29"/>
      <c r="AQ90" s="2">
        <v>87</v>
      </c>
      <c r="AR90" s="29" t="s">
        <v>988</v>
      </c>
      <c r="AS90" s="29" t="s">
        <v>989</v>
      </c>
    </row>
    <row r="91" spans="2:45" x14ac:dyDescent="0.2">
      <c r="B91" s="2" t="s">
        <v>3737</v>
      </c>
      <c r="J91" s="29" t="s">
        <v>4284</v>
      </c>
      <c r="K91" s="29">
        <v>2451</v>
      </c>
      <c r="L91" s="29" t="s">
        <v>4285</v>
      </c>
      <c r="AA91" s="29"/>
      <c r="AB91" s="29"/>
      <c r="AC91" s="29"/>
      <c r="AD91" s="29"/>
      <c r="AQ91" s="2">
        <v>88</v>
      </c>
      <c r="AR91" s="29" t="s">
        <v>990</v>
      </c>
      <c r="AS91" s="29" t="s">
        <v>991</v>
      </c>
    </row>
    <row r="92" spans="2:45" x14ac:dyDescent="0.2">
      <c r="B92" s="2" t="s">
        <v>3738</v>
      </c>
      <c r="J92" s="29" t="s">
        <v>676</v>
      </c>
      <c r="K92" s="29">
        <v>700</v>
      </c>
      <c r="L92" s="29" t="s">
        <v>677</v>
      </c>
      <c r="AA92" s="29"/>
      <c r="AB92" s="29"/>
      <c r="AC92" s="29"/>
      <c r="AD92" s="29"/>
      <c r="AQ92" s="2">
        <v>89</v>
      </c>
      <c r="AR92" s="29" t="s">
        <v>992</v>
      </c>
      <c r="AS92" s="29" t="s">
        <v>993</v>
      </c>
    </row>
    <row r="93" spans="2:45" x14ac:dyDescent="0.2">
      <c r="B93" s="2" t="s">
        <v>3739</v>
      </c>
      <c r="J93" s="29" t="s">
        <v>2893</v>
      </c>
      <c r="K93" s="29">
        <v>1994</v>
      </c>
      <c r="L93" s="29" t="s">
        <v>2894</v>
      </c>
      <c r="AA93" s="29"/>
      <c r="AB93" s="29"/>
      <c r="AC93" s="29"/>
      <c r="AD93" s="29"/>
      <c r="AQ93" s="2">
        <v>90</v>
      </c>
      <c r="AR93" s="29" t="s">
        <v>994</v>
      </c>
      <c r="AS93" s="29" t="s">
        <v>993</v>
      </c>
    </row>
    <row r="94" spans="2:45" x14ac:dyDescent="0.2">
      <c r="B94" s="2" t="s">
        <v>3740</v>
      </c>
      <c r="J94" s="29" t="s">
        <v>1553</v>
      </c>
      <c r="K94" s="29">
        <v>1615</v>
      </c>
      <c r="L94" s="29" t="s">
        <v>678</v>
      </c>
      <c r="AA94" s="29"/>
      <c r="AB94" s="29"/>
      <c r="AC94" s="29"/>
      <c r="AD94" s="29"/>
      <c r="AQ94" s="2">
        <v>91</v>
      </c>
      <c r="AR94" s="29" t="s">
        <v>995</v>
      </c>
      <c r="AS94" s="29" t="s">
        <v>993</v>
      </c>
    </row>
    <row r="95" spans="2:45" x14ac:dyDescent="0.2">
      <c r="B95" s="2" t="s">
        <v>3741</v>
      </c>
      <c r="J95" s="29" t="s">
        <v>3599</v>
      </c>
      <c r="K95" s="29">
        <v>2405</v>
      </c>
      <c r="L95" s="29" t="s">
        <v>3501</v>
      </c>
      <c r="AA95" s="29"/>
      <c r="AB95" s="29"/>
      <c r="AC95" s="29"/>
      <c r="AD95" s="29"/>
      <c r="AQ95" s="2">
        <v>92</v>
      </c>
      <c r="AR95" s="29" t="s">
        <v>996</v>
      </c>
      <c r="AS95" s="29" t="s">
        <v>997</v>
      </c>
    </row>
    <row r="96" spans="2:45" x14ac:dyDescent="0.2">
      <c r="B96" s="2" t="s">
        <v>3742</v>
      </c>
      <c r="J96" s="29" t="s">
        <v>3500</v>
      </c>
      <c r="K96" s="29">
        <v>2279</v>
      </c>
      <c r="L96" s="29" t="s">
        <v>3501</v>
      </c>
      <c r="AA96" s="29"/>
      <c r="AB96" s="29"/>
      <c r="AC96" s="29"/>
      <c r="AD96" s="29"/>
      <c r="AQ96" s="2">
        <v>93</v>
      </c>
      <c r="AR96" s="29" t="s">
        <v>998</v>
      </c>
      <c r="AS96" s="29" t="s">
        <v>999</v>
      </c>
    </row>
    <row r="97" spans="2:45" x14ac:dyDescent="0.2">
      <c r="B97" s="2" t="s">
        <v>3743</v>
      </c>
      <c r="J97" s="29" t="s">
        <v>3502</v>
      </c>
      <c r="K97" s="29">
        <v>2274</v>
      </c>
      <c r="L97" s="29" t="s">
        <v>282</v>
      </c>
      <c r="AA97" s="29"/>
      <c r="AB97" s="29"/>
      <c r="AC97" s="29"/>
      <c r="AD97" s="29"/>
      <c r="AQ97" s="2">
        <v>94</v>
      </c>
      <c r="AR97" s="29" t="s">
        <v>1599</v>
      </c>
      <c r="AS97" s="29" t="s">
        <v>993</v>
      </c>
    </row>
    <row r="98" spans="2:45" x14ac:dyDescent="0.2">
      <c r="B98" s="2" t="s">
        <v>3744</v>
      </c>
      <c r="J98" s="29" t="s">
        <v>3070</v>
      </c>
      <c r="K98" s="29">
        <v>2202</v>
      </c>
      <c r="L98" s="29" t="s">
        <v>675</v>
      </c>
      <c r="AA98" s="29"/>
      <c r="AB98" s="29"/>
      <c r="AC98" s="29"/>
      <c r="AD98" s="29"/>
      <c r="AQ98" s="2">
        <v>95</v>
      </c>
      <c r="AR98" s="29" t="s">
        <v>1000</v>
      </c>
      <c r="AS98" s="29" t="s">
        <v>1001</v>
      </c>
    </row>
    <row r="99" spans="2:45" x14ac:dyDescent="0.2">
      <c r="B99" s="2" t="s">
        <v>3745</v>
      </c>
      <c r="J99" s="29" t="s">
        <v>1554</v>
      </c>
      <c r="K99" s="29">
        <v>1489</v>
      </c>
      <c r="L99" s="29" t="s">
        <v>1555</v>
      </c>
      <c r="AA99" s="29"/>
      <c r="AB99" s="29"/>
      <c r="AC99" s="29"/>
      <c r="AD99" s="29"/>
      <c r="AQ99" s="2">
        <v>96</v>
      </c>
      <c r="AR99" s="29" t="s">
        <v>1002</v>
      </c>
      <c r="AS99" s="29" t="s">
        <v>993</v>
      </c>
    </row>
    <row r="100" spans="2:45" x14ac:dyDescent="0.2">
      <c r="B100" s="2" t="s">
        <v>3746</v>
      </c>
      <c r="J100" s="29" t="s">
        <v>1556</v>
      </c>
      <c r="K100" s="29">
        <v>1556</v>
      </c>
      <c r="L100" s="29" t="s">
        <v>283</v>
      </c>
      <c r="AA100" s="29"/>
      <c r="AB100" s="29"/>
      <c r="AC100" s="29"/>
      <c r="AD100" s="29"/>
      <c r="AQ100" s="2">
        <v>97</v>
      </c>
      <c r="AR100" s="29" t="s">
        <v>1003</v>
      </c>
      <c r="AS100" s="29" t="s">
        <v>993</v>
      </c>
    </row>
    <row r="101" spans="2:45" x14ac:dyDescent="0.2">
      <c r="B101" s="2" t="s">
        <v>3747</v>
      </c>
      <c r="J101" s="29" t="s">
        <v>3385</v>
      </c>
      <c r="K101" s="29">
        <v>2249</v>
      </c>
      <c r="L101" s="29" t="s">
        <v>283</v>
      </c>
      <c r="AA101" s="29"/>
      <c r="AB101" s="29"/>
      <c r="AC101" s="29"/>
      <c r="AD101" s="29"/>
      <c r="AQ101" s="2">
        <v>98</v>
      </c>
      <c r="AR101" s="29" t="s">
        <v>1004</v>
      </c>
      <c r="AS101" s="29" t="s">
        <v>1005</v>
      </c>
    </row>
    <row r="102" spans="2:45" x14ac:dyDescent="0.2">
      <c r="B102" s="2" t="s">
        <v>3748</v>
      </c>
      <c r="J102" s="29" t="s">
        <v>679</v>
      </c>
      <c r="K102" s="29">
        <v>699</v>
      </c>
      <c r="L102" s="29" t="s">
        <v>680</v>
      </c>
      <c r="AA102" s="29"/>
      <c r="AB102" s="29"/>
      <c r="AC102" s="29"/>
      <c r="AD102" s="29"/>
      <c r="AQ102" s="2">
        <v>99</v>
      </c>
      <c r="AR102" s="29" t="s">
        <v>1006</v>
      </c>
      <c r="AS102" s="29" t="s">
        <v>1007</v>
      </c>
    </row>
    <row r="103" spans="2:45" x14ac:dyDescent="0.2">
      <c r="B103" s="2" t="s">
        <v>3749</v>
      </c>
      <c r="J103" s="29" t="s">
        <v>3503</v>
      </c>
      <c r="K103" s="29">
        <v>2346</v>
      </c>
      <c r="L103" s="29" t="s">
        <v>3504</v>
      </c>
      <c r="AA103" s="29"/>
      <c r="AB103" s="29"/>
      <c r="AC103" s="29"/>
      <c r="AD103" s="29"/>
      <c r="AQ103" s="2">
        <v>100</v>
      </c>
      <c r="AR103" s="29" t="s">
        <v>1008</v>
      </c>
      <c r="AS103" s="29" t="s">
        <v>1009</v>
      </c>
    </row>
    <row r="104" spans="2:45" x14ac:dyDescent="0.2">
      <c r="B104" s="2" t="s">
        <v>3750</v>
      </c>
      <c r="J104" s="29" t="s">
        <v>4286</v>
      </c>
      <c r="K104" s="29">
        <v>2420</v>
      </c>
      <c r="L104" s="29" t="s">
        <v>539</v>
      </c>
      <c r="AA104" s="29"/>
      <c r="AB104" s="29"/>
      <c r="AC104" s="29"/>
      <c r="AD104" s="29"/>
      <c r="AQ104" s="2">
        <v>101</v>
      </c>
      <c r="AR104" s="29" t="s">
        <v>1010</v>
      </c>
      <c r="AS104" s="29" t="s">
        <v>1011</v>
      </c>
    </row>
    <row r="105" spans="2:45" x14ac:dyDescent="0.2">
      <c r="B105" s="2" t="s">
        <v>3751</v>
      </c>
      <c r="J105" s="29" t="s">
        <v>2896</v>
      </c>
      <c r="K105" s="29">
        <v>2002</v>
      </c>
      <c r="L105" s="29" t="s">
        <v>2897</v>
      </c>
      <c r="AQ105" s="2">
        <v>102</v>
      </c>
      <c r="AR105" s="29" t="s">
        <v>3638</v>
      </c>
      <c r="AS105" s="29" t="s">
        <v>3639</v>
      </c>
    </row>
    <row r="106" spans="2:45" x14ac:dyDescent="0.2">
      <c r="B106" s="2" t="s">
        <v>3752</v>
      </c>
      <c r="J106" s="29" t="s">
        <v>2898</v>
      </c>
      <c r="K106" s="29">
        <v>1986</v>
      </c>
      <c r="L106" s="29" t="s">
        <v>283</v>
      </c>
      <c r="AQ106" s="2">
        <v>103</v>
      </c>
      <c r="AR106" s="29" t="s">
        <v>3008</v>
      </c>
      <c r="AS106" s="29" t="s">
        <v>1637</v>
      </c>
    </row>
    <row r="107" spans="2:45" x14ac:dyDescent="0.2">
      <c r="B107" s="2" t="s">
        <v>3753</v>
      </c>
      <c r="J107" s="29" t="s">
        <v>681</v>
      </c>
      <c r="K107" s="29">
        <v>298</v>
      </c>
      <c r="L107" s="29" t="s">
        <v>538</v>
      </c>
      <c r="AQ107" s="2">
        <v>104</v>
      </c>
      <c r="AR107" s="29" t="s">
        <v>3009</v>
      </c>
      <c r="AS107" s="29" t="s">
        <v>3010</v>
      </c>
    </row>
    <row r="108" spans="2:45" x14ac:dyDescent="0.2">
      <c r="B108" s="2" t="s">
        <v>3754</v>
      </c>
      <c r="J108" s="29" t="s">
        <v>1557</v>
      </c>
      <c r="K108" s="29">
        <v>1437</v>
      </c>
      <c r="L108" s="29" t="s">
        <v>682</v>
      </c>
      <c r="AQ108" s="2">
        <v>105</v>
      </c>
      <c r="AR108" s="29" t="s">
        <v>2740</v>
      </c>
      <c r="AS108" s="29" t="s">
        <v>1331</v>
      </c>
    </row>
    <row r="109" spans="2:45" x14ac:dyDescent="0.2">
      <c r="B109" s="2" t="s">
        <v>3755</v>
      </c>
      <c r="J109" s="29" t="s">
        <v>683</v>
      </c>
      <c r="K109" s="29">
        <v>580</v>
      </c>
      <c r="L109" s="29" t="s">
        <v>540</v>
      </c>
      <c r="AQ109" s="2">
        <v>106</v>
      </c>
      <c r="AR109" s="29" t="s">
        <v>2741</v>
      </c>
      <c r="AS109" s="29" t="s">
        <v>1332</v>
      </c>
    </row>
    <row r="110" spans="2:45" x14ac:dyDescent="0.2">
      <c r="B110" s="2" t="s">
        <v>3756</v>
      </c>
      <c r="J110" s="29" t="s">
        <v>684</v>
      </c>
      <c r="K110" s="29">
        <v>991</v>
      </c>
      <c r="L110" s="29" t="s">
        <v>539</v>
      </c>
      <c r="AQ110" s="2">
        <v>107</v>
      </c>
      <c r="AR110" s="29" t="s">
        <v>2742</v>
      </c>
      <c r="AS110" s="29" t="s">
        <v>1328</v>
      </c>
    </row>
    <row r="111" spans="2:45" x14ac:dyDescent="0.2">
      <c r="B111" s="2" t="s">
        <v>3757</v>
      </c>
      <c r="J111" s="29" t="s">
        <v>4287</v>
      </c>
      <c r="K111" s="29">
        <v>2441</v>
      </c>
      <c r="L111" s="29" t="s">
        <v>4288</v>
      </c>
      <c r="AQ111" s="2">
        <v>108</v>
      </c>
      <c r="AR111" s="29" t="s">
        <v>2743</v>
      </c>
      <c r="AS111" s="29" t="s">
        <v>1329</v>
      </c>
    </row>
    <row r="112" spans="2:45" x14ac:dyDescent="0.2">
      <c r="B112" s="2" t="s">
        <v>3758</v>
      </c>
      <c r="J112" s="29" t="s">
        <v>3600</v>
      </c>
      <c r="K112" s="29">
        <v>2368</v>
      </c>
      <c r="L112" s="29" t="s">
        <v>3601</v>
      </c>
      <c r="AQ112" s="2">
        <v>109</v>
      </c>
      <c r="AR112" s="29" t="s">
        <v>2744</v>
      </c>
      <c r="AS112" s="29" t="s">
        <v>1330</v>
      </c>
    </row>
    <row r="113" spans="2:45" x14ac:dyDescent="0.2">
      <c r="B113" s="2" t="s">
        <v>3759</v>
      </c>
      <c r="J113" s="29" t="s">
        <v>3602</v>
      </c>
      <c r="K113" s="29">
        <v>2075</v>
      </c>
      <c r="L113" s="29" t="s">
        <v>3603</v>
      </c>
      <c r="AQ113" s="2">
        <v>110</v>
      </c>
      <c r="AR113" s="29" t="s">
        <v>3011</v>
      </c>
      <c r="AS113" s="29" t="s">
        <v>1307</v>
      </c>
    </row>
    <row r="114" spans="2:45" x14ac:dyDescent="0.2">
      <c r="B114" s="2" t="s">
        <v>3760</v>
      </c>
      <c r="J114" s="29" t="s">
        <v>2899</v>
      </c>
      <c r="K114" s="29">
        <v>2000</v>
      </c>
      <c r="L114" s="29" t="s">
        <v>2895</v>
      </c>
      <c r="AQ114" s="2">
        <v>111</v>
      </c>
      <c r="AR114" s="29" t="s">
        <v>2745</v>
      </c>
      <c r="AS114" s="29" t="s">
        <v>2746</v>
      </c>
    </row>
    <row r="115" spans="2:45" x14ac:dyDescent="0.2">
      <c r="B115" s="2" t="s">
        <v>3761</v>
      </c>
      <c r="J115" s="29" t="s">
        <v>4289</v>
      </c>
      <c r="K115" s="29">
        <v>2422</v>
      </c>
      <c r="L115" s="29" t="s">
        <v>283</v>
      </c>
      <c r="AQ115" s="2">
        <v>112</v>
      </c>
      <c r="AR115" s="29" t="s">
        <v>2747</v>
      </c>
      <c r="AS115" s="29" t="s">
        <v>1289</v>
      </c>
    </row>
    <row r="116" spans="2:45" x14ac:dyDescent="0.2">
      <c r="B116" s="2" t="s">
        <v>3762</v>
      </c>
      <c r="J116" s="29" t="s">
        <v>2900</v>
      </c>
      <c r="K116" s="29">
        <v>2126</v>
      </c>
      <c r="L116" s="29" t="s">
        <v>2895</v>
      </c>
      <c r="AQ116" s="2">
        <v>113</v>
      </c>
      <c r="AR116" s="29" t="s">
        <v>2748</v>
      </c>
      <c r="AS116" s="29" t="s">
        <v>1290</v>
      </c>
    </row>
    <row r="117" spans="2:45" x14ac:dyDescent="0.2">
      <c r="B117" s="2" t="s">
        <v>3763</v>
      </c>
      <c r="J117" s="29" t="s">
        <v>1558</v>
      </c>
      <c r="K117" s="29">
        <v>1710</v>
      </c>
      <c r="L117" s="29" t="s">
        <v>680</v>
      </c>
      <c r="AQ117" s="2">
        <v>114</v>
      </c>
      <c r="AR117" s="29" t="s">
        <v>2749</v>
      </c>
      <c r="AS117" s="29" t="s">
        <v>1291</v>
      </c>
    </row>
    <row r="118" spans="2:45" x14ac:dyDescent="0.2">
      <c r="B118" s="2" t="s">
        <v>3764</v>
      </c>
      <c r="J118" s="29" t="s">
        <v>2901</v>
      </c>
      <c r="K118" s="29">
        <v>1287</v>
      </c>
      <c r="L118" s="29" t="s">
        <v>1497</v>
      </c>
      <c r="AQ118" s="2">
        <v>115</v>
      </c>
      <c r="AR118" s="29" t="s">
        <v>2750</v>
      </c>
      <c r="AS118" s="29" t="s">
        <v>1292</v>
      </c>
    </row>
    <row r="119" spans="2:45" x14ac:dyDescent="0.2">
      <c r="B119" s="2" t="s">
        <v>3765</v>
      </c>
      <c r="J119" s="29" t="s">
        <v>686</v>
      </c>
      <c r="K119" s="29">
        <v>33</v>
      </c>
      <c r="L119" s="29" t="s">
        <v>544</v>
      </c>
      <c r="AQ119" s="2">
        <v>116</v>
      </c>
      <c r="AR119" s="29" t="s">
        <v>2751</v>
      </c>
      <c r="AS119" s="29" t="s">
        <v>1293</v>
      </c>
    </row>
    <row r="120" spans="2:45" x14ac:dyDescent="0.2">
      <c r="B120" s="2" t="s">
        <v>3766</v>
      </c>
      <c r="J120" s="29" t="s">
        <v>3505</v>
      </c>
      <c r="K120" s="29">
        <v>96</v>
      </c>
      <c r="L120" s="29" t="s">
        <v>542</v>
      </c>
      <c r="AQ120" s="2">
        <v>117</v>
      </c>
      <c r="AR120" s="29" t="s">
        <v>2752</v>
      </c>
      <c r="AS120" s="29" t="s">
        <v>1287</v>
      </c>
    </row>
    <row r="121" spans="2:45" x14ac:dyDescent="0.2">
      <c r="B121" s="2" t="s">
        <v>3767</v>
      </c>
      <c r="J121" s="29" t="s">
        <v>3506</v>
      </c>
      <c r="K121" s="29">
        <v>2336</v>
      </c>
      <c r="L121" s="29" t="s">
        <v>3507</v>
      </c>
      <c r="AQ121" s="2">
        <v>118</v>
      </c>
      <c r="AR121" s="29" t="s">
        <v>2753</v>
      </c>
      <c r="AS121" s="29" t="s">
        <v>1288</v>
      </c>
    </row>
    <row r="122" spans="2:45" x14ac:dyDescent="0.2">
      <c r="B122" s="2" t="s">
        <v>3768</v>
      </c>
      <c r="J122" s="29" t="s">
        <v>2902</v>
      </c>
      <c r="K122" s="29">
        <v>1976</v>
      </c>
      <c r="L122" s="29" t="s">
        <v>542</v>
      </c>
      <c r="AQ122" s="2">
        <v>119</v>
      </c>
      <c r="AR122" s="29" t="s">
        <v>2754</v>
      </c>
      <c r="AS122" s="29" t="s">
        <v>1276</v>
      </c>
    </row>
    <row r="123" spans="2:45" x14ac:dyDescent="0.2">
      <c r="B123" s="2" t="s">
        <v>3769</v>
      </c>
      <c r="J123" s="29" t="s">
        <v>1560</v>
      </c>
      <c r="K123" s="29">
        <v>1604</v>
      </c>
      <c r="L123" s="29" t="s">
        <v>1497</v>
      </c>
      <c r="AQ123" s="2">
        <v>120</v>
      </c>
      <c r="AR123" s="29" t="s">
        <v>1012</v>
      </c>
      <c r="AS123" s="29" t="s">
        <v>1013</v>
      </c>
    </row>
    <row r="124" spans="2:45" x14ac:dyDescent="0.2">
      <c r="B124" s="2" t="s">
        <v>3770</v>
      </c>
      <c r="J124" s="29" t="s">
        <v>2903</v>
      </c>
      <c r="K124" s="29">
        <v>2044</v>
      </c>
      <c r="L124" s="29" t="s">
        <v>542</v>
      </c>
      <c r="AQ124" s="2">
        <v>121</v>
      </c>
      <c r="AR124" s="29" t="s">
        <v>2755</v>
      </c>
      <c r="AS124" s="29" t="s">
        <v>909</v>
      </c>
    </row>
    <row r="125" spans="2:45" x14ac:dyDescent="0.2">
      <c r="B125" s="2" t="s">
        <v>3771</v>
      </c>
      <c r="J125" s="29" t="s">
        <v>1562</v>
      </c>
      <c r="K125" s="29">
        <v>1608</v>
      </c>
      <c r="L125" s="29" t="s">
        <v>544</v>
      </c>
      <c r="AQ125" s="2">
        <v>122</v>
      </c>
      <c r="AR125" s="29" t="s">
        <v>2756</v>
      </c>
      <c r="AS125" s="29" t="s">
        <v>1264</v>
      </c>
    </row>
    <row r="126" spans="2:45" x14ac:dyDescent="0.2">
      <c r="B126" s="2" t="s">
        <v>3772</v>
      </c>
      <c r="J126" s="29" t="s">
        <v>2904</v>
      </c>
      <c r="K126" s="29">
        <v>2041</v>
      </c>
      <c r="L126" s="29" t="s">
        <v>284</v>
      </c>
      <c r="AQ126" s="2">
        <v>123</v>
      </c>
      <c r="AR126" s="29" t="s">
        <v>2757</v>
      </c>
      <c r="AS126" s="29" t="s">
        <v>1241</v>
      </c>
    </row>
    <row r="127" spans="2:45" x14ac:dyDescent="0.2">
      <c r="B127" s="2" t="s">
        <v>3773</v>
      </c>
      <c r="J127" s="29" t="s">
        <v>2905</v>
      </c>
      <c r="K127" s="29">
        <v>89</v>
      </c>
      <c r="L127" s="29" t="s">
        <v>544</v>
      </c>
      <c r="AQ127" s="2">
        <v>124</v>
      </c>
      <c r="AR127" s="29" t="s">
        <v>2758</v>
      </c>
      <c r="AS127" s="29" t="s">
        <v>1242</v>
      </c>
    </row>
    <row r="128" spans="2:45" x14ac:dyDescent="0.2">
      <c r="B128" s="2" t="s">
        <v>3774</v>
      </c>
      <c r="J128" s="29" t="s">
        <v>4290</v>
      </c>
      <c r="K128" s="29">
        <v>2437</v>
      </c>
      <c r="L128" s="29" t="s">
        <v>542</v>
      </c>
      <c r="AQ128" s="2">
        <v>125</v>
      </c>
      <c r="AR128" s="29" t="s">
        <v>2759</v>
      </c>
      <c r="AS128" s="29" t="s">
        <v>1243</v>
      </c>
    </row>
    <row r="129" spans="2:45" x14ac:dyDescent="0.2">
      <c r="B129" s="2" t="s">
        <v>3775</v>
      </c>
      <c r="J129" s="29" t="s">
        <v>688</v>
      </c>
      <c r="K129" s="29">
        <v>282</v>
      </c>
      <c r="L129" s="29" t="s">
        <v>541</v>
      </c>
      <c r="AQ129" s="2">
        <v>126</v>
      </c>
      <c r="AR129" s="29" t="s">
        <v>2760</v>
      </c>
      <c r="AS129" s="29" t="s">
        <v>1234</v>
      </c>
    </row>
    <row r="130" spans="2:45" x14ac:dyDescent="0.2">
      <c r="B130" s="2" t="s">
        <v>3776</v>
      </c>
      <c r="J130" s="29" t="s">
        <v>4291</v>
      </c>
      <c r="K130" s="29">
        <v>1592</v>
      </c>
      <c r="L130" s="29" t="s">
        <v>4292</v>
      </c>
      <c r="AQ130" s="2">
        <v>127</v>
      </c>
      <c r="AR130" s="29" t="s">
        <v>2761</v>
      </c>
      <c r="AS130" s="29" t="s">
        <v>1225</v>
      </c>
    </row>
    <row r="131" spans="2:45" x14ac:dyDescent="0.2">
      <c r="B131" s="2" t="s">
        <v>3777</v>
      </c>
      <c r="J131" s="29" t="s">
        <v>2906</v>
      </c>
      <c r="K131" s="29">
        <v>2099</v>
      </c>
      <c r="L131" s="29" t="s">
        <v>2852</v>
      </c>
      <c r="AQ131" s="2">
        <v>128</v>
      </c>
      <c r="AR131" s="29" t="s">
        <v>2762</v>
      </c>
      <c r="AS131" s="29" t="s">
        <v>1226</v>
      </c>
    </row>
    <row r="132" spans="2:45" x14ac:dyDescent="0.2">
      <c r="B132" s="2" t="s">
        <v>3778</v>
      </c>
      <c r="J132" s="29" t="s">
        <v>3127</v>
      </c>
      <c r="K132" s="29">
        <v>2232</v>
      </c>
      <c r="L132" s="29" t="s">
        <v>1561</v>
      </c>
      <c r="AQ132" s="2">
        <v>129</v>
      </c>
      <c r="AR132" s="29" t="s">
        <v>2763</v>
      </c>
      <c r="AS132" s="29" t="s">
        <v>1231</v>
      </c>
    </row>
    <row r="133" spans="2:45" x14ac:dyDescent="0.2">
      <c r="B133" s="2" t="s">
        <v>3779</v>
      </c>
      <c r="J133" s="29" t="s">
        <v>2907</v>
      </c>
      <c r="K133" s="29">
        <v>1963</v>
      </c>
      <c r="L133" s="29" t="s">
        <v>687</v>
      </c>
      <c r="AQ133" s="2">
        <v>130</v>
      </c>
      <c r="AR133" s="29" t="s">
        <v>2764</v>
      </c>
      <c r="AS133" s="29" t="s">
        <v>1205</v>
      </c>
    </row>
    <row r="134" spans="2:45" x14ac:dyDescent="0.2">
      <c r="B134" s="2" t="s">
        <v>3780</v>
      </c>
      <c r="J134" s="29" t="s">
        <v>2908</v>
      </c>
      <c r="K134" s="29">
        <v>2139</v>
      </c>
      <c r="L134" s="29" t="s">
        <v>1559</v>
      </c>
      <c r="AQ134" s="2">
        <v>131</v>
      </c>
      <c r="AR134" s="29" t="s">
        <v>2765</v>
      </c>
      <c r="AS134" s="29" t="s">
        <v>1206</v>
      </c>
    </row>
    <row r="135" spans="2:45" x14ac:dyDescent="0.2">
      <c r="B135" s="2" t="s">
        <v>3781</v>
      </c>
      <c r="J135" s="29" t="s">
        <v>3604</v>
      </c>
      <c r="K135" s="29">
        <v>2409</v>
      </c>
      <c r="L135" s="29" t="s">
        <v>3605</v>
      </c>
      <c r="AQ135" s="2">
        <v>132</v>
      </c>
      <c r="AR135" s="29" t="s">
        <v>2766</v>
      </c>
      <c r="AS135" s="29" t="s">
        <v>1207</v>
      </c>
    </row>
    <row r="136" spans="2:45" x14ac:dyDescent="0.2">
      <c r="B136" s="2" t="s">
        <v>3782</v>
      </c>
      <c r="J136" s="29" t="s">
        <v>2909</v>
      </c>
      <c r="K136" s="29">
        <v>1999</v>
      </c>
      <c r="L136" s="29" t="s">
        <v>2910</v>
      </c>
      <c r="AQ136" s="2">
        <v>133</v>
      </c>
      <c r="AR136" s="29" t="s">
        <v>2767</v>
      </c>
      <c r="AS136" s="29" t="s">
        <v>1208</v>
      </c>
    </row>
    <row r="137" spans="2:45" x14ac:dyDescent="0.2">
      <c r="B137" s="2" t="s">
        <v>3783</v>
      </c>
      <c r="J137" s="29" t="s">
        <v>3386</v>
      </c>
      <c r="K137" s="29">
        <v>1598</v>
      </c>
      <c r="L137" s="29" t="s">
        <v>581</v>
      </c>
      <c r="AQ137" s="2">
        <v>134</v>
      </c>
      <c r="AR137" s="29" t="s">
        <v>2768</v>
      </c>
      <c r="AS137" s="29" t="s">
        <v>1209</v>
      </c>
    </row>
    <row r="138" spans="2:45" x14ac:dyDescent="0.2">
      <c r="B138" s="2" t="s">
        <v>3784</v>
      </c>
      <c r="J138" s="29" t="s">
        <v>2911</v>
      </c>
      <c r="K138" s="29">
        <v>2074</v>
      </c>
      <c r="L138" s="29" t="s">
        <v>2853</v>
      </c>
      <c r="AQ138" s="2">
        <v>135</v>
      </c>
      <c r="AR138" s="29" t="s">
        <v>2769</v>
      </c>
      <c r="AS138" s="29" t="s">
        <v>1210</v>
      </c>
    </row>
    <row r="139" spans="2:45" x14ac:dyDescent="0.2">
      <c r="B139" s="2" t="s">
        <v>3785</v>
      </c>
      <c r="J139" s="29" t="s">
        <v>3606</v>
      </c>
      <c r="K139" s="29">
        <v>2371</v>
      </c>
      <c r="L139" s="29" t="s">
        <v>3607</v>
      </c>
      <c r="AQ139" s="2">
        <v>136</v>
      </c>
      <c r="AR139" s="29" t="s">
        <v>2770</v>
      </c>
      <c r="AS139" s="29" t="s">
        <v>1213</v>
      </c>
    </row>
    <row r="140" spans="2:45" x14ac:dyDescent="0.2">
      <c r="B140" s="2" t="s">
        <v>3786</v>
      </c>
      <c r="J140" s="29" t="s">
        <v>690</v>
      </c>
      <c r="K140" s="29">
        <v>716</v>
      </c>
      <c r="L140" s="29" t="s">
        <v>691</v>
      </c>
      <c r="AQ140" s="2">
        <v>137</v>
      </c>
      <c r="AR140" s="29" t="s">
        <v>2771</v>
      </c>
      <c r="AS140" s="29" t="s">
        <v>1214</v>
      </c>
    </row>
    <row r="141" spans="2:45" x14ac:dyDescent="0.2">
      <c r="B141" s="2" t="s">
        <v>3787</v>
      </c>
      <c r="J141" s="29" t="s">
        <v>3508</v>
      </c>
      <c r="K141" s="29">
        <v>2338</v>
      </c>
      <c r="L141" s="29" t="s">
        <v>3509</v>
      </c>
      <c r="AQ141" s="2">
        <v>138</v>
      </c>
      <c r="AR141" s="29" t="s">
        <v>2772</v>
      </c>
      <c r="AS141" s="29" t="s">
        <v>1215</v>
      </c>
    </row>
    <row r="142" spans="2:45" x14ac:dyDescent="0.2">
      <c r="B142" s="2" t="s">
        <v>3788</v>
      </c>
      <c r="J142" s="29" t="s">
        <v>3608</v>
      </c>
      <c r="K142" s="29">
        <v>1742</v>
      </c>
      <c r="L142" s="29" t="s">
        <v>2853</v>
      </c>
      <c r="AQ142" s="2">
        <v>139</v>
      </c>
      <c r="AR142" s="29" t="s">
        <v>2773</v>
      </c>
      <c r="AS142" s="29" t="s">
        <v>1222</v>
      </c>
    </row>
    <row r="143" spans="2:45" x14ac:dyDescent="0.2">
      <c r="B143" s="2" t="s">
        <v>3789</v>
      </c>
      <c r="J143" s="29" t="s">
        <v>4293</v>
      </c>
      <c r="K143" s="29">
        <v>2421</v>
      </c>
      <c r="L143" s="29" t="s">
        <v>287</v>
      </c>
      <c r="AQ143" s="2">
        <v>140</v>
      </c>
      <c r="AR143" s="29" t="s">
        <v>1014</v>
      </c>
      <c r="AS143" s="29" t="s">
        <v>1015</v>
      </c>
    </row>
    <row r="144" spans="2:45" x14ac:dyDescent="0.2">
      <c r="B144" s="2" t="s">
        <v>3790</v>
      </c>
      <c r="J144" s="29" t="s">
        <v>2912</v>
      </c>
      <c r="K144" s="29">
        <v>2007</v>
      </c>
      <c r="L144" s="29" t="s">
        <v>2913</v>
      </c>
      <c r="AQ144" s="2">
        <v>141</v>
      </c>
      <c r="AR144" s="29" t="s">
        <v>1016</v>
      </c>
      <c r="AS144" s="29" t="s">
        <v>1015</v>
      </c>
    </row>
    <row r="145" spans="2:45" x14ac:dyDescent="0.2">
      <c r="B145" s="2" t="s">
        <v>3791</v>
      </c>
      <c r="J145" s="29" t="s">
        <v>692</v>
      </c>
      <c r="K145" s="29">
        <v>921</v>
      </c>
      <c r="L145" s="29" t="s">
        <v>693</v>
      </c>
      <c r="AQ145" s="2">
        <v>142</v>
      </c>
      <c r="AR145" s="29" t="s">
        <v>2774</v>
      </c>
      <c r="AS145" s="29" t="s">
        <v>1343</v>
      </c>
    </row>
    <row r="146" spans="2:45" x14ac:dyDescent="0.2">
      <c r="B146" s="2" t="s">
        <v>3792</v>
      </c>
      <c r="J146" s="29" t="s">
        <v>2914</v>
      </c>
      <c r="K146" s="29">
        <v>2053</v>
      </c>
      <c r="L146" s="29" t="s">
        <v>546</v>
      </c>
      <c r="AQ146" s="2">
        <v>143</v>
      </c>
      <c r="AR146" s="29" t="s">
        <v>2775</v>
      </c>
      <c r="AS146" s="29" t="s">
        <v>1344</v>
      </c>
    </row>
    <row r="147" spans="2:45" x14ac:dyDescent="0.2">
      <c r="B147" s="2" t="s">
        <v>3793</v>
      </c>
      <c r="J147" s="29" t="s">
        <v>4294</v>
      </c>
      <c r="K147" s="29">
        <v>2419</v>
      </c>
      <c r="L147" s="29" t="s">
        <v>4295</v>
      </c>
      <c r="AQ147" s="2">
        <v>144</v>
      </c>
      <c r="AR147" s="29" t="s">
        <v>2776</v>
      </c>
      <c r="AS147" s="29" t="s">
        <v>1345</v>
      </c>
    </row>
    <row r="148" spans="2:45" x14ac:dyDescent="0.2">
      <c r="B148" s="2" t="s">
        <v>3794</v>
      </c>
      <c r="J148" s="29" t="s">
        <v>3510</v>
      </c>
      <c r="K148" s="29">
        <v>2327</v>
      </c>
      <c r="L148" s="29" t="s">
        <v>3511</v>
      </c>
      <c r="AQ148" s="2">
        <v>145</v>
      </c>
      <c r="AR148" s="29" t="s">
        <v>2777</v>
      </c>
      <c r="AS148" s="29" t="s">
        <v>1346</v>
      </c>
    </row>
    <row r="149" spans="2:45" x14ac:dyDescent="0.2">
      <c r="B149" s="2" t="s">
        <v>3795</v>
      </c>
      <c r="J149" s="29" t="s">
        <v>4296</v>
      </c>
      <c r="K149" s="29">
        <v>2418</v>
      </c>
      <c r="L149" s="29" t="s">
        <v>546</v>
      </c>
      <c r="AQ149" s="2">
        <v>146</v>
      </c>
      <c r="AR149" s="29" t="s">
        <v>2778</v>
      </c>
      <c r="AS149" s="29" t="s">
        <v>1347</v>
      </c>
    </row>
    <row r="150" spans="2:45" x14ac:dyDescent="0.2">
      <c r="B150" s="2" t="s">
        <v>3796</v>
      </c>
      <c r="J150" s="29" t="s">
        <v>3512</v>
      </c>
      <c r="K150" s="29">
        <v>2356</v>
      </c>
      <c r="L150" s="29" t="s">
        <v>2913</v>
      </c>
      <c r="AQ150" s="2">
        <v>147</v>
      </c>
      <c r="AR150" s="29" t="s">
        <v>2779</v>
      </c>
      <c r="AS150" s="29" t="s">
        <v>1348</v>
      </c>
    </row>
    <row r="151" spans="2:45" x14ac:dyDescent="0.2">
      <c r="B151" s="2" t="s">
        <v>3797</v>
      </c>
      <c r="J151" s="29" t="s">
        <v>694</v>
      </c>
      <c r="K151" s="29">
        <v>527</v>
      </c>
      <c r="L151" s="29" t="s">
        <v>545</v>
      </c>
      <c r="AQ151" s="2">
        <v>148</v>
      </c>
      <c r="AR151" s="29" t="s">
        <v>2780</v>
      </c>
      <c r="AS151" s="29" t="s">
        <v>1349</v>
      </c>
    </row>
    <row r="152" spans="2:45" x14ac:dyDescent="0.2">
      <c r="B152" s="2" t="s">
        <v>3798</v>
      </c>
      <c r="J152" s="29" t="s">
        <v>3513</v>
      </c>
      <c r="K152" s="29">
        <v>2298</v>
      </c>
      <c r="L152" s="29" t="s">
        <v>3514</v>
      </c>
      <c r="AQ152" s="2">
        <v>149</v>
      </c>
      <c r="AR152" s="29" t="s">
        <v>1017</v>
      </c>
      <c r="AS152" s="29" t="s">
        <v>1018</v>
      </c>
    </row>
    <row r="153" spans="2:45" x14ac:dyDescent="0.2">
      <c r="B153" s="2" t="s">
        <v>3799</v>
      </c>
      <c r="J153" s="29" t="s">
        <v>547</v>
      </c>
      <c r="K153" s="29">
        <v>165</v>
      </c>
      <c r="L153" s="29" t="s">
        <v>548</v>
      </c>
      <c r="AQ153" s="2">
        <v>150</v>
      </c>
      <c r="AR153" s="29" t="s">
        <v>3012</v>
      </c>
      <c r="AS153" s="29" t="s">
        <v>3013</v>
      </c>
    </row>
    <row r="154" spans="2:45" x14ac:dyDescent="0.2">
      <c r="B154" s="2" t="s">
        <v>3800</v>
      </c>
      <c r="J154" s="29" t="s">
        <v>2915</v>
      </c>
      <c r="K154" s="29">
        <v>2047</v>
      </c>
      <c r="L154" s="29" t="s">
        <v>550</v>
      </c>
      <c r="AQ154" s="2">
        <v>151</v>
      </c>
      <c r="AR154" s="29" t="s">
        <v>1019</v>
      </c>
      <c r="AS154" s="29" t="s">
        <v>1020</v>
      </c>
    </row>
    <row r="155" spans="2:45" x14ac:dyDescent="0.2">
      <c r="B155" s="2" t="s">
        <v>3801</v>
      </c>
      <c r="J155" s="29" t="s">
        <v>551</v>
      </c>
      <c r="K155" s="29">
        <v>128</v>
      </c>
      <c r="L155" s="29" t="s">
        <v>552</v>
      </c>
      <c r="AQ155" s="2">
        <v>152</v>
      </c>
      <c r="AR155" s="29" t="s">
        <v>1021</v>
      </c>
      <c r="AS155" s="29" t="s">
        <v>1022</v>
      </c>
    </row>
    <row r="156" spans="2:45" x14ac:dyDescent="0.2">
      <c r="B156" s="2" t="s">
        <v>3802</v>
      </c>
      <c r="J156" s="29" t="s">
        <v>3387</v>
      </c>
      <c r="K156" s="29">
        <v>346</v>
      </c>
      <c r="L156" s="29" t="s">
        <v>3388</v>
      </c>
      <c r="AQ156" s="2">
        <v>153</v>
      </c>
      <c r="AR156" s="29" t="s">
        <v>1023</v>
      </c>
      <c r="AS156" s="29" t="s">
        <v>1024</v>
      </c>
    </row>
    <row r="157" spans="2:45" x14ac:dyDescent="0.2">
      <c r="B157" s="2" t="s">
        <v>3803</v>
      </c>
      <c r="J157" s="29" t="s">
        <v>4297</v>
      </c>
      <c r="K157" s="29">
        <v>1373</v>
      </c>
      <c r="L157" s="29" t="s">
        <v>552</v>
      </c>
      <c r="AQ157" s="2">
        <v>154</v>
      </c>
      <c r="AR157" s="29" t="s">
        <v>1473</v>
      </c>
      <c r="AS157" s="29" t="s">
        <v>1474</v>
      </c>
    </row>
    <row r="158" spans="2:45" x14ac:dyDescent="0.2">
      <c r="B158" s="2" t="s">
        <v>3804</v>
      </c>
      <c r="J158" s="29" t="s">
        <v>695</v>
      </c>
      <c r="K158" s="29">
        <v>688</v>
      </c>
      <c r="L158" s="29" t="s">
        <v>696</v>
      </c>
      <c r="AQ158" s="2">
        <v>155</v>
      </c>
      <c r="AR158" s="29" t="s">
        <v>1475</v>
      </c>
      <c r="AS158" s="29" t="s">
        <v>1474</v>
      </c>
    </row>
    <row r="159" spans="2:45" x14ac:dyDescent="0.2">
      <c r="B159" s="2" t="s">
        <v>3805</v>
      </c>
      <c r="J159" s="29" t="s">
        <v>4298</v>
      </c>
      <c r="K159" s="29">
        <v>2442</v>
      </c>
      <c r="L159" s="29" t="s">
        <v>3666</v>
      </c>
      <c r="AQ159" s="2">
        <v>156</v>
      </c>
      <c r="AR159" s="29" t="s">
        <v>1600</v>
      </c>
      <c r="AS159" s="29" t="s">
        <v>1601</v>
      </c>
    </row>
    <row r="160" spans="2:45" x14ac:dyDescent="0.2">
      <c r="B160" s="2" t="s">
        <v>3806</v>
      </c>
      <c r="J160" s="29" t="s">
        <v>2916</v>
      </c>
      <c r="K160" s="29">
        <v>2073</v>
      </c>
      <c r="L160" s="29" t="s">
        <v>2917</v>
      </c>
      <c r="AQ160" s="2">
        <v>157</v>
      </c>
      <c r="AR160" s="29" t="s">
        <v>1602</v>
      </c>
      <c r="AS160" s="29" t="s">
        <v>1603</v>
      </c>
    </row>
    <row r="161" spans="2:45" x14ac:dyDescent="0.2">
      <c r="B161" s="2" t="s">
        <v>3807</v>
      </c>
      <c r="J161" s="29" t="s">
        <v>2918</v>
      </c>
      <c r="K161" s="29">
        <v>2066</v>
      </c>
      <c r="L161" s="29" t="s">
        <v>552</v>
      </c>
      <c r="AQ161" s="2">
        <v>158</v>
      </c>
      <c r="AR161" s="29" t="s">
        <v>1604</v>
      </c>
      <c r="AS161" s="29" t="s">
        <v>1603</v>
      </c>
    </row>
    <row r="162" spans="2:45" x14ac:dyDescent="0.2">
      <c r="B162" s="2" t="s">
        <v>3808</v>
      </c>
      <c r="J162" s="29" t="s">
        <v>3424</v>
      </c>
      <c r="K162" s="29">
        <v>17</v>
      </c>
      <c r="L162" s="29" t="s">
        <v>3425</v>
      </c>
      <c r="AQ162" s="2">
        <v>159</v>
      </c>
      <c r="AR162" s="29" t="s">
        <v>1605</v>
      </c>
      <c r="AS162" s="29" t="s">
        <v>1601</v>
      </c>
    </row>
    <row r="163" spans="2:45" x14ac:dyDescent="0.2">
      <c r="B163" s="2" t="s">
        <v>3809</v>
      </c>
      <c r="J163" s="29" t="s">
        <v>4299</v>
      </c>
      <c r="K163" s="29">
        <v>2430</v>
      </c>
      <c r="L163" s="29" t="s">
        <v>558</v>
      </c>
      <c r="AQ163" s="2">
        <v>160</v>
      </c>
      <c r="AR163" s="29" t="s">
        <v>1606</v>
      </c>
      <c r="AS163" s="29" t="s">
        <v>1601</v>
      </c>
    </row>
    <row r="164" spans="2:45" x14ac:dyDescent="0.2">
      <c r="B164" s="2" t="s">
        <v>3810</v>
      </c>
      <c r="J164" s="29" t="s">
        <v>553</v>
      </c>
      <c r="K164" s="29">
        <v>539</v>
      </c>
      <c r="L164" s="29" t="s">
        <v>554</v>
      </c>
      <c r="AQ164" s="2">
        <v>161</v>
      </c>
      <c r="AR164" s="29" t="s">
        <v>1607</v>
      </c>
      <c r="AS164" s="29" t="s">
        <v>1608</v>
      </c>
    </row>
    <row r="165" spans="2:45" x14ac:dyDescent="0.2">
      <c r="B165" s="2" t="s">
        <v>3811</v>
      </c>
      <c r="J165" s="29" t="s">
        <v>4300</v>
      </c>
      <c r="K165" s="29">
        <v>2449</v>
      </c>
      <c r="L165" s="29" t="s">
        <v>296</v>
      </c>
      <c r="AQ165" s="2">
        <v>162</v>
      </c>
      <c r="AR165" s="29" t="s">
        <v>1609</v>
      </c>
      <c r="AS165" s="29" t="s">
        <v>1608</v>
      </c>
    </row>
    <row r="166" spans="2:45" x14ac:dyDescent="0.2">
      <c r="B166" s="2" t="s">
        <v>3812</v>
      </c>
      <c r="J166" s="29" t="s">
        <v>3426</v>
      </c>
      <c r="K166" s="29">
        <v>2267</v>
      </c>
      <c r="L166" s="29" t="s">
        <v>699</v>
      </c>
      <c r="AQ166" s="2">
        <v>163</v>
      </c>
      <c r="AR166" s="29" t="s">
        <v>1610</v>
      </c>
      <c r="AS166" s="29" t="s">
        <v>1608</v>
      </c>
    </row>
    <row r="167" spans="2:45" x14ac:dyDescent="0.2">
      <c r="B167" s="2" t="s">
        <v>3813</v>
      </c>
      <c r="J167" s="29" t="s">
        <v>3050</v>
      </c>
      <c r="K167" s="29">
        <v>2140</v>
      </c>
      <c r="L167" s="29" t="s">
        <v>2854</v>
      </c>
      <c r="AQ167" s="2">
        <v>164</v>
      </c>
      <c r="AR167" s="29" t="s">
        <v>1611</v>
      </c>
      <c r="AS167" s="29" t="s">
        <v>1612</v>
      </c>
    </row>
    <row r="168" spans="2:45" x14ac:dyDescent="0.2">
      <c r="B168" s="2" t="s">
        <v>3814</v>
      </c>
      <c r="J168" s="29" t="s">
        <v>3071</v>
      </c>
      <c r="K168" s="29">
        <v>2201</v>
      </c>
      <c r="L168" s="29" t="s">
        <v>2854</v>
      </c>
      <c r="AQ168" s="2">
        <v>165</v>
      </c>
      <c r="AR168" s="29" t="s">
        <v>1613</v>
      </c>
      <c r="AS168" s="29" t="s">
        <v>1608</v>
      </c>
    </row>
    <row r="169" spans="2:45" x14ac:dyDescent="0.2">
      <c r="B169" s="2" t="s">
        <v>3815</v>
      </c>
      <c r="J169" s="29" t="s">
        <v>3078</v>
      </c>
      <c r="K169" s="29">
        <v>2214</v>
      </c>
      <c r="L169" s="29" t="s">
        <v>1568</v>
      </c>
      <c r="AQ169" s="2">
        <v>166</v>
      </c>
      <c r="AR169" s="29" t="s">
        <v>1614</v>
      </c>
      <c r="AS169" s="29" t="s">
        <v>1608</v>
      </c>
    </row>
    <row r="170" spans="2:45" x14ac:dyDescent="0.2">
      <c r="B170" s="2" t="s">
        <v>3816</v>
      </c>
      <c r="J170" s="29" t="s">
        <v>2919</v>
      </c>
      <c r="K170" s="29">
        <v>2086</v>
      </c>
      <c r="L170" s="29" t="s">
        <v>2854</v>
      </c>
      <c r="AQ170" s="2">
        <v>167</v>
      </c>
      <c r="AR170" s="29" t="s">
        <v>1615</v>
      </c>
      <c r="AS170" s="29" t="s">
        <v>1608</v>
      </c>
    </row>
    <row r="171" spans="2:45" x14ac:dyDescent="0.2">
      <c r="B171" s="2" t="s">
        <v>3817</v>
      </c>
      <c r="J171" s="29" t="s">
        <v>2920</v>
      </c>
      <c r="K171" s="29">
        <v>2029</v>
      </c>
      <c r="L171" s="29" t="s">
        <v>296</v>
      </c>
      <c r="AQ171" s="2">
        <v>168</v>
      </c>
      <c r="AR171" s="29" t="s">
        <v>1616</v>
      </c>
      <c r="AS171" s="29" t="s">
        <v>1608</v>
      </c>
    </row>
    <row r="172" spans="2:45" x14ac:dyDescent="0.2">
      <c r="B172" s="2" t="s">
        <v>3818</v>
      </c>
      <c r="J172" s="29" t="s">
        <v>697</v>
      </c>
      <c r="K172" s="29">
        <v>711</v>
      </c>
      <c r="L172" s="29" t="s">
        <v>698</v>
      </c>
      <c r="AQ172" s="2">
        <v>169</v>
      </c>
      <c r="AR172" s="29" t="s">
        <v>1617</v>
      </c>
      <c r="AS172" s="29" t="s">
        <v>1618</v>
      </c>
    </row>
    <row r="173" spans="2:45" x14ac:dyDescent="0.2">
      <c r="B173" s="2" t="s">
        <v>3819</v>
      </c>
      <c r="J173" s="29" t="s">
        <v>1564</v>
      </c>
      <c r="K173" s="29">
        <v>1443</v>
      </c>
      <c r="L173" s="29" t="s">
        <v>1565</v>
      </c>
      <c r="AQ173" s="2">
        <v>170</v>
      </c>
      <c r="AR173" s="29" t="s">
        <v>1619</v>
      </c>
      <c r="AS173" s="29" t="s">
        <v>1618</v>
      </c>
    </row>
    <row r="174" spans="2:45" x14ac:dyDescent="0.2">
      <c r="B174" s="2" t="s">
        <v>3820</v>
      </c>
      <c r="J174" s="29" t="s">
        <v>1566</v>
      </c>
      <c r="K174" s="29">
        <v>1629</v>
      </c>
      <c r="L174" s="29" t="s">
        <v>555</v>
      </c>
      <c r="AQ174" s="2">
        <v>171</v>
      </c>
      <c r="AR174" s="29" t="s">
        <v>1620</v>
      </c>
      <c r="AS174" s="29" t="s">
        <v>1621</v>
      </c>
    </row>
    <row r="175" spans="2:45" x14ac:dyDescent="0.2">
      <c r="B175" s="2" t="s">
        <v>3821</v>
      </c>
      <c r="J175" s="29" t="s">
        <v>3389</v>
      </c>
      <c r="K175" s="29">
        <v>2241</v>
      </c>
      <c r="L175" s="29" t="s">
        <v>33</v>
      </c>
      <c r="AQ175" s="2">
        <v>172</v>
      </c>
      <c r="AR175" s="29" t="s">
        <v>1622</v>
      </c>
      <c r="AS175" s="29" t="s">
        <v>1621</v>
      </c>
    </row>
    <row r="176" spans="2:45" x14ac:dyDescent="0.2">
      <c r="B176" s="2" t="s">
        <v>3822</v>
      </c>
      <c r="J176" s="29" t="s">
        <v>3055</v>
      </c>
      <c r="K176" s="29">
        <v>2191</v>
      </c>
      <c r="L176" s="29" t="s">
        <v>394</v>
      </c>
      <c r="AQ176" s="2">
        <v>173</v>
      </c>
      <c r="AR176" s="29" t="s">
        <v>1623</v>
      </c>
      <c r="AS176" s="29" t="s">
        <v>1624</v>
      </c>
    </row>
    <row r="177" spans="2:45" x14ac:dyDescent="0.2">
      <c r="B177" s="2" t="s">
        <v>3823</v>
      </c>
      <c r="J177" s="29" t="s">
        <v>3072</v>
      </c>
      <c r="K177" s="29">
        <v>2205</v>
      </c>
      <c r="L177" s="29" t="s">
        <v>699</v>
      </c>
      <c r="AQ177" s="2">
        <v>174</v>
      </c>
      <c r="AR177" s="29" t="s">
        <v>1625</v>
      </c>
      <c r="AS177" s="29" t="s">
        <v>1307</v>
      </c>
    </row>
    <row r="178" spans="2:45" x14ac:dyDescent="0.2">
      <c r="B178" s="2" t="s">
        <v>3824</v>
      </c>
      <c r="J178" s="29" t="s">
        <v>3079</v>
      </c>
      <c r="K178" s="29">
        <v>510</v>
      </c>
      <c r="L178" s="29" t="s">
        <v>3080</v>
      </c>
      <c r="AQ178" s="2">
        <v>175</v>
      </c>
      <c r="AR178" s="29" t="s">
        <v>1626</v>
      </c>
      <c r="AS178" s="29" t="s">
        <v>1627</v>
      </c>
    </row>
    <row r="179" spans="2:45" x14ac:dyDescent="0.2">
      <c r="B179" s="2" t="s">
        <v>3825</v>
      </c>
      <c r="J179" s="29" t="s">
        <v>2921</v>
      </c>
      <c r="K179" s="29">
        <v>1956</v>
      </c>
      <c r="L179" s="29" t="s">
        <v>33</v>
      </c>
      <c r="AQ179" s="2">
        <v>176</v>
      </c>
      <c r="AR179" s="29" t="s">
        <v>1628</v>
      </c>
      <c r="AS179" s="29" t="s">
        <v>1629</v>
      </c>
    </row>
    <row r="180" spans="2:45" x14ac:dyDescent="0.2">
      <c r="B180" s="2" t="s">
        <v>3826</v>
      </c>
      <c r="J180" s="29" t="s">
        <v>3515</v>
      </c>
      <c r="K180" s="29">
        <v>2299</v>
      </c>
      <c r="L180" s="29" t="s">
        <v>2854</v>
      </c>
      <c r="AQ180" s="2">
        <v>177</v>
      </c>
      <c r="AR180" s="29" t="s">
        <v>1630</v>
      </c>
      <c r="AS180" s="29" t="s">
        <v>1631</v>
      </c>
    </row>
    <row r="181" spans="2:45" x14ac:dyDescent="0.2">
      <c r="B181" s="2" t="s">
        <v>3827</v>
      </c>
      <c r="J181" s="29" t="s">
        <v>1567</v>
      </c>
      <c r="K181" s="29">
        <v>84</v>
      </c>
      <c r="L181" s="29" t="s">
        <v>1568</v>
      </c>
      <c r="AQ181" s="2">
        <v>178</v>
      </c>
      <c r="AR181" s="29" t="s">
        <v>1632</v>
      </c>
      <c r="AS181" s="29" t="s">
        <v>1631</v>
      </c>
    </row>
    <row r="182" spans="2:45" x14ac:dyDescent="0.2">
      <c r="B182" s="2" t="s">
        <v>3828</v>
      </c>
      <c r="J182" s="29" t="s">
        <v>556</v>
      </c>
      <c r="K182" s="29">
        <v>220</v>
      </c>
      <c r="L182" s="29" t="s">
        <v>557</v>
      </c>
      <c r="AQ182" s="2">
        <v>179</v>
      </c>
      <c r="AR182" s="29" t="s">
        <v>2781</v>
      </c>
      <c r="AS182" s="29" t="s">
        <v>2782</v>
      </c>
    </row>
    <row r="183" spans="2:45" x14ac:dyDescent="0.2">
      <c r="B183" s="2" t="s">
        <v>3829</v>
      </c>
      <c r="J183" s="29" t="s">
        <v>3056</v>
      </c>
      <c r="K183" s="29">
        <v>2192</v>
      </c>
      <c r="L183" s="29" t="s">
        <v>2854</v>
      </c>
      <c r="AQ183" s="2">
        <v>180</v>
      </c>
      <c r="AR183" s="29" t="s">
        <v>3014</v>
      </c>
      <c r="AS183" s="29" t="s">
        <v>3015</v>
      </c>
    </row>
    <row r="184" spans="2:45" x14ac:dyDescent="0.2">
      <c r="B184" s="2" t="s">
        <v>3830</v>
      </c>
      <c r="J184" s="29" t="s">
        <v>4301</v>
      </c>
      <c r="K184" s="29">
        <v>2440</v>
      </c>
      <c r="L184" s="29" t="s">
        <v>4302</v>
      </c>
      <c r="AQ184" s="2">
        <v>181</v>
      </c>
      <c r="AR184" s="29" t="s">
        <v>3016</v>
      </c>
      <c r="AS184" s="29" t="s">
        <v>3017</v>
      </c>
    </row>
    <row r="185" spans="2:45" x14ac:dyDescent="0.2">
      <c r="B185" s="2" t="s">
        <v>3831</v>
      </c>
      <c r="J185" s="29" t="s">
        <v>4303</v>
      </c>
      <c r="K185" s="29">
        <v>2450</v>
      </c>
      <c r="L185" s="29" t="s">
        <v>558</v>
      </c>
      <c r="AQ185" s="2">
        <v>182</v>
      </c>
      <c r="AR185" s="29" t="s">
        <v>3018</v>
      </c>
      <c r="AS185" s="29" t="s">
        <v>3019</v>
      </c>
    </row>
    <row r="186" spans="2:45" x14ac:dyDescent="0.2">
      <c r="B186" s="2" t="s">
        <v>3832</v>
      </c>
      <c r="J186" s="29" t="s">
        <v>3609</v>
      </c>
      <c r="K186" s="29">
        <v>2364</v>
      </c>
      <c r="L186" s="29" t="s">
        <v>555</v>
      </c>
      <c r="AQ186" s="2">
        <v>183</v>
      </c>
      <c r="AR186" s="29" t="s">
        <v>3020</v>
      </c>
      <c r="AS186" s="29" t="s">
        <v>3019</v>
      </c>
    </row>
    <row r="187" spans="2:45" x14ac:dyDescent="0.2">
      <c r="B187" s="2" t="s">
        <v>3833</v>
      </c>
      <c r="J187" s="29" t="s">
        <v>1569</v>
      </c>
      <c r="K187" s="29">
        <v>1610</v>
      </c>
      <c r="L187" s="29" t="s">
        <v>699</v>
      </c>
      <c r="AQ187" s="2">
        <v>184</v>
      </c>
      <c r="AR187" s="29" t="s">
        <v>3021</v>
      </c>
      <c r="AS187" s="29" t="s">
        <v>3022</v>
      </c>
    </row>
    <row r="188" spans="2:45" x14ac:dyDescent="0.2">
      <c r="B188" s="2" t="s">
        <v>3834</v>
      </c>
      <c r="J188" s="29" t="s">
        <v>2922</v>
      </c>
      <c r="K188" s="29">
        <v>1988</v>
      </c>
      <c r="L188" s="29" t="s">
        <v>558</v>
      </c>
      <c r="AQ188" s="2">
        <v>185</v>
      </c>
      <c r="AR188" s="29" t="s">
        <v>3023</v>
      </c>
      <c r="AS188" s="29" t="s">
        <v>3024</v>
      </c>
    </row>
    <row r="189" spans="2:45" x14ac:dyDescent="0.2">
      <c r="B189" s="2" t="s">
        <v>3835</v>
      </c>
      <c r="J189" s="29" t="s">
        <v>3610</v>
      </c>
      <c r="K189" s="29">
        <v>2407</v>
      </c>
      <c r="L189" s="29" t="s">
        <v>3611</v>
      </c>
      <c r="AQ189" s="2">
        <v>186</v>
      </c>
      <c r="AR189" s="29" t="s">
        <v>3025</v>
      </c>
      <c r="AS189" s="29" t="s">
        <v>3026</v>
      </c>
    </row>
    <row r="190" spans="2:45" x14ac:dyDescent="0.2">
      <c r="B190" s="2" t="s">
        <v>3836</v>
      </c>
      <c r="J190" s="29" t="s">
        <v>3612</v>
      </c>
      <c r="K190" s="29">
        <v>2311</v>
      </c>
      <c r="L190" s="29" t="s">
        <v>94</v>
      </c>
      <c r="AQ190" s="2">
        <v>187</v>
      </c>
      <c r="AR190" s="29" t="s">
        <v>3027</v>
      </c>
      <c r="AS190" s="29" t="s">
        <v>3028</v>
      </c>
    </row>
    <row r="191" spans="2:45" x14ac:dyDescent="0.2">
      <c r="B191" s="2" t="s">
        <v>3837</v>
      </c>
      <c r="J191" s="29" t="s">
        <v>701</v>
      </c>
      <c r="K191" s="29">
        <v>763</v>
      </c>
      <c r="L191" s="29" t="s">
        <v>395</v>
      </c>
      <c r="AQ191" s="2">
        <v>188</v>
      </c>
      <c r="AR191" s="29" t="s">
        <v>3029</v>
      </c>
      <c r="AS191" s="29" t="s">
        <v>3030</v>
      </c>
    </row>
    <row r="192" spans="2:45" x14ac:dyDescent="0.2">
      <c r="B192" s="2" t="s">
        <v>3838</v>
      </c>
      <c r="J192" s="29" t="s">
        <v>1570</v>
      </c>
      <c r="K192" s="29">
        <v>1442</v>
      </c>
      <c r="L192" s="29" t="s">
        <v>1571</v>
      </c>
      <c r="AQ192" s="2">
        <v>189</v>
      </c>
      <c r="AR192" s="29" t="s">
        <v>3031</v>
      </c>
      <c r="AS192" s="29" t="s">
        <v>3032</v>
      </c>
    </row>
    <row r="193" spans="2:45" x14ac:dyDescent="0.2">
      <c r="B193" s="2" t="s">
        <v>3839</v>
      </c>
      <c r="J193" s="29" t="s">
        <v>702</v>
      </c>
      <c r="K193" s="29">
        <v>714</v>
      </c>
      <c r="L193" s="29" t="s">
        <v>559</v>
      </c>
      <c r="AQ193" s="2">
        <v>190</v>
      </c>
      <c r="AR193" s="29" t="s">
        <v>3033</v>
      </c>
      <c r="AS193" s="29" t="s">
        <v>3034</v>
      </c>
    </row>
    <row r="194" spans="2:45" x14ac:dyDescent="0.2">
      <c r="B194" s="2" t="s">
        <v>3840</v>
      </c>
      <c r="J194" s="29" t="s">
        <v>560</v>
      </c>
      <c r="K194" s="29">
        <v>190</v>
      </c>
      <c r="L194" s="29" t="s">
        <v>561</v>
      </c>
      <c r="AQ194" s="2">
        <v>191</v>
      </c>
      <c r="AR194" s="29" t="s">
        <v>3035</v>
      </c>
      <c r="AS194" s="29" t="s">
        <v>3036</v>
      </c>
    </row>
    <row r="195" spans="2:45" x14ac:dyDescent="0.2">
      <c r="B195" s="2" t="s">
        <v>3841</v>
      </c>
      <c r="J195" s="29" t="s">
        <v>3516</v>
      </c>
      <c r="K195" s="29">
        <v>592</v>
      </c>
      <c r="L195" s="29" t="s">
        <v>3517</v>
      </c>
      <c r="AQ195" s="2">
        <v>192</v>
      </c>
      <c r="AR195" s="29" t="s">
        <v>3037</v>
      </c>
      <c r="AS195" s="29" t="s">
        <v>3038</v>
      </c>
    </row>
    <row r="196" spans="2:45" x14ac:dyDescent="0.2">
      <c r="B196" s="2" t="s">
        <v>3842</v>
      </c>
      <c r="J196" s="29" t="s">
        <v>3073</v>
      </c>
      <c r="K196" s="29">
        <v>183</v>
      </c>
      <c r="L196" s="29" t="s">
        <v>3074</v>
      </c>
      <c r="AQ196" s="2">
        <v>193</v>
      </c>
      <c r="AR196" s="29" t="s">
        <v>3039</v>
      </c>
      <c r="AS196" s="29" t="s">
        <v>3040</v>
      </c>
    </row>
    <row r="197" spans="2:45" x14ac:dyDescent="0.2">
      <c r="B197" s="2" t="s">
        <v>3843</v>
      </c>
      <c r="J197" s="29" t="s">
        <v>704</v>
      </c>
      <c r="K197" s="29">
        <v>232</v>
      </c>
      <c r="L197" s="29" t="s">
        <v>705</v>
      </c>
      <c r="AQ197" s="2">
        <v>194</v>
      </c>
      <c r="AR197" s="29" t="s">
        <v>3041</v>
      </c>
      <c r="AS197" s="29" t="s">
        <v>3042</v>
      </c>
    </row>
    <row r="198" spans="2:45" x14ac:dyDescent="0.2">
      <c r="B198" s="2" t="s">
        <v>3844</v>
      </c>
      <c r="J198" s="29" t="s">
        <v>706</v>
      </c>
      <c r="K198" s="29">
        <v>489</v>
      </c>
      <c r="L198" s="29" t="s">
        <v>562</v>
      </c>
      <c r="AQ198" s="2">
        <v>195</v>
      </c>
      <c r="AR198" s="29" t="s">
        <v>3043</v>
      </c>
      <c r="AS198" s="29" t="s">
        <v>3044</v>
      </c>
    </row>
    <row r="199" spans="2:45" x14ac:dyDescent="0.2">
      <c r="B199" s="2" t="s">
        <v>3845</v>
      </c>
      <c r="J199" s="29" t="s">
        <v>3518</v>
      </c>
      <c r="K199" s="29">
        <v>2295</v>
      </c>
      <c r="L199" s="29" t="s">
        <v>235</v>
      </c>
      <c r="AQ199" s="2">
        <v>196</v>
      </c>
      <c r="AR199" s="29" t="s">
        <v>3406</v>
      </c>
      <c r="AS199" s="29" t="s">
        <v>3407</v>
      </c>
    </row>
    <row r="200" spans="2:45" x14ac:dyDescent="0.2">
      <c r="B200" s="2" t="s">
        <v>3846</v>
      </c>
      <c r="J200" s="29" t="s">
        <v>3081</v>
      </c>
      <c r="K200" s="29">
        <v>2213</v>
      </c>
      <c r="L200" s="29" t="s">
        <v>235</v>
      </c>
      <c r="AQ200" s="2">
        <v>197</v>
      </c>
      <c r="AR200" s="29" t="s">
        <v>3431</v>
      </c>
      <c r="AS200" s="29" t="s">
        <v>3432</v>
      </c>
    </row>
    <row r="201" spans="2:45" x14ac:dyDescent="0.2">
      <c r="B201" s="2" t="s">
        <v>3847</v>
      </c>
      <c r="J201" s="29" t="s">
        <v>3613</v>
      </c>
      <c r="K201" s="29">
        <v>2358</v>
      </c>
      <c r="L201" s="29" t="s">
        <v>100</v>
      </c>
      <c r="AQ201" s="2">
        <v>198</v>
      </c>
      <c r="AR201" s="29" t="s">
        <v>3433</v>
      </c>
      <c r="AS201" s="29" t="s">
        <v>3434</v>
      </c>
    </row>
    <row r="202" spans="2:45" x14ac:dyDescent="0.2">
      <c r="B202" s="2" t="s">
        <v>3848</v>
      </c>
      <c r="J202" s="29" t="s">
        <v>3614</v>
      </c>
      <c r="K202" s="29">
        <v>2359</v>
      </c>
      <c r="L202" s="29" t="s">
        <v>100</v>
      </c>
      <c r="AQ202" s="2">
        <v>199</v>
      </c>
      <c r="AR202" s="29" t="s">
        <v>3435</v>
      </c>
      <c r="AS202" s="29" t="s">
        <v>3436</v>
      </c>
    </row>
    <row r="203" spans="2:45" x14ac:dyDescent="0.2">
      <c r="B203" s="2" t="s">
        <v>3849</v>
      </c>
      <c r="J203" s="29" t="s">
        <v>3615</v>
      </c>
      <c r="K203" s="29">
        <v>2360</v>
      </c>
      <c r="L203" s="29" t="s">
        <v>100</v>
      </c>
      <c r="AQ203" s="2">
        <v>200</v>
      </c>
      <c r="AR203" s="29" t="s">
        <v>3437</v>
      </c>
      <c r="AS203" s="29" t="s">
        <v>3438</v>
      </c>
    </row>
    <row r="204" spans="2:45" x14ac:dyDescent="0.2">
      <c r="B204" s="2" t="s">
        <v>3850</v>
      </c>
      <c r="J204" s="29" t="s">
        <v>3616</v>
      </c>
      <c r="K204" s="29">
        <v>2361</v>
      </c>
      <c r="L204" s="29" t="s">
        <v>100</v>
      </c>
      <c r="AQ204" s="2">
        <v>201</v>
      </c>
      <c r="AR204" s="29" t="s">
        <v>3439</v>
      </c>
      <c r="AS204" s="29" t="s">
        <v>3440</v>
      </c>
    </row>
    <row r="205" spans="2:45" x14ac:dyDescent="0.2">
      <c r="B205" s="2" t="s">
        <v>3851</v>
      </c>
      <c r="J205" s="29" t="s">
        <v>3617</v>
      </c>
      <c r="K205" s="29">
        <v>2362</v>
      </c>
      <c r="L205" s="29" t="s">
        <v>100</v>
      </c>
      <c r="AQ205" s="2">
        <v>202</v>
      </c>
      <c r="AR205" s="29" t="s">
        <v>3441</v>
      </c>
      <c r="AS205" s="29" t="s">
        <v>3442</v>
      </c>
    </row>
    <row r="206" spans="2:45" x14ac:dyDescent="0.2">
      <c r="B206" s="2" t="s">
        <v>3852</v>
      </c>
      <c r="J206" s="29" t="s">
        <v>4304</v>
      </c>
      <c r="K206" s="29">
        <v>2448</v>
      </c>
      <c r="L206" s="29" t="s">
        <v>4305</v>
      </c>
      <c r="AQ206" s="2">
        <v>203</v>
      </c>
      <c r="AR206" s="29" t="s">
        <v>3543</v>
      </c>
      <c r="AS206" s="29" t="s">
        <v>3544</v>
      </c>
    </row>
    <row r="207" spans="2:45" x14ac:dyDescent="0.2">
      <c r="B207" s="2" t="s">
        <v>3853</v>
      </c>
      <c r="J207" s="29" t="s">
        <v>2923</v>
      </c>
      <c r="K207" s="29">
        <v>902</v>
      </c>
      <c r="L207" s="29" t="s">
        <v>2924</v>
      </c>
      <c r="AQ207" s="2">
        <v>204</v>
      </c>
      <c r="AR207" s="29" t="s">
        <v>3545</v>
      </c>
      <c r="AS207" s="29" t="s">
        <v>3640</v>
      </c>
    </row>
    <row r="208" spans="2:45" x14ac:dyDescent="0.2">
      <c r="B208" s="2" t="s">
        <v>3854</v>
      </c>
      <c r="J208" s="29" t="s">
        <v>3057</v>
      </c>
      <c r="K208" s="29">
        <v>2176</v>
      </c>
      <c r="L208" s="29" t="s">
        <v>563</v>
      </c>
      <c r="AQ208" s="2">
        <v>205</v>
      </c>
      <c r="AR208" s="29" t="s">
        <v>3546</v>
      </c>
      <c r="AS208" s="29" t="s">
        <v>3547</v>
      </c>
    </row>
    <row r="209" spans="2:45" x14ac:dyDescent="0.2">
      <c r="B209" s="2" t="s">
        <v>3855</v>
      </c>
      <c r="J209" s="29" t="s">
        <v>2925</v>
      </c>
      <c r="K209" s="29">
        <v>2083</v>
      </c>
      <c r="L209" s="29" t="s">
        <v>2926</v>
      </c>
      <c r="AQ209" s="2">
        <v>206</v>
      </c>
      <c r="AR209" s="29" t="s">
        <v>3548</v>
      </c>
      <c r="AS209" s="29" t="s">
        <v>3549</v>
      </c>
    </row>
    <row r="210" spans="2:45" x14ac:dyDescent="0.2">
      <c r="B210" s="2" t="s">
        <v>3856</v>
      </c>
      <c r="J210" s="29" t="s">
        <v>2927</v>
      </c>
      <c r="K210" s="29">
        <v>1966</v>
      </c>
      <c r="L210" s="29" t="s">
        <v>2928</v>
      </c>
      <c r="AQ210" s="2">
        <v>207</v>
      </c>
      <c r="AR210" s="29" t="s">
        <v>3550</v>
      </c>
      <c r="AS210" s="29" t="s">
        <v>3551</v>
      </c>
    </row>
    <row r="211" spans="2:45" x14ac:dyDescent="0.2">
      <c r="B211" s="2" t="s">
        <v>3857</v>
      </c>
      <c r="J211" s="29" t="s">
        <v>14</v>
      </c>
      <c r="K211" s="29">
        <v>1337</v>
      </c>
      <c r="L211" s="29" t="s">
        <v>15</v>
      </c>
      <c r="AQ211" s="2">
        <v>208</v>
      </c>
      <c r="AR211" s="29" t="s">
        <v>3641</v>
      </c>
      <c r="AS211" s="29" t="s">
        <v>3642</v>
      </c>
    </row>
    <row r="212" spans="2:45" x14ac:dyDescent="0.2">
      <c r="B212" s="2" t="s">
        <v>3858</v>
      </c>
      <c r="J212" s="29" t="s">
        <v>3390</v>
      </c>
      <c r="K212" s="29">
        <v>2253</v>
      </c>
      <c r="L212" s="29" t="s">
        <v>2924</v>
      </c>
      <c r="AQ212" s="2">
        <v>209</v>
      </c>
      <c r="AR212" s="29" t="s">
        <v>3643</v>
      </c>
      <c r="AS212" s="29" t="s">
        <v>3644</v>
      </c>
    </row>
    <row r="213" spans="2:45" x14ac:dyDescent="0.2">
      <c r="B213" s="2" t="s">
        <v>3859</v>
      </c>
      <c r="J213" s="29" t="s">
        <v>564</v>
      </c>
      <c r="K213" s="29">
        <v>112</v>
      </c>
      <c r="L213" s="29" t="s">
        <v>565</v>
      </c>
      <c r="AQ213" s="2">
        <v>210</v>
      </c>
      <c r="AR213" s="29" t="s">
        <v>3645</v>
      </c>
      <c r="AS213" s="29" t="s">
        <v>3646</v>
      </c>
    </row>
    <row r="214" spans="2:45" x14ac:dyDescent="0.2">
      <c r="B214" s="2" t="s">
        <v>3860</v>
      </c>
      <c r="J214" s="29" t="s">
        <v>3618</v>
      </c>
      <c r="K214" s="29">
        <v>2372</v>
      </c>
      <c r="L214" s="29" t="s">
        <v>2932</v>
      </c>
      <c r="AQ214" s="2">
        <v>211</v>
      </c>
      <c r="AR214" s="29" t="s">
        <v>3647</v>
      </c>
      <c r="AS214" s="29" t="s">
        <v>3648</v>
      </c>
    </row>
    <row r="215" spans="2:45" x14ac:dyDescent="0.2">
      <c r="B215" s="2" t="s">
        <v>3861</v>
      </c>
      <c r="J215" s="29" t="s">
        <v>3058</v>
      </c>
      <c r="K215" s="29">
        <v>2194</v>
      </c>
      <c r="L215" s="29" t="s">
        <v>2930</v>
      </c>
      <c r="AQ215" s="2">
        <v>212</v>
      </c>
      <c r="AR215" s="29" t="s">
        <v>1025</v>
      </c>
      <c r="AS215" s="29" t="s">
        <v>1026</v>
      </c>
    </row>
    <row r="216" spans="2:45" x14ac:dyDescent="0.2">
      <c r="B216" s="2" t="s">
        <v>3862</v>
      </c>
      <c r="J216" s="29" t="s">
        <v>16</v>
      </c>
      <c r="K216" s="29">
        <v>715</v>
      </c>
      <c r="L216" s="29" t="s">
        <v>17</v>
      </c>
      <c r="AQ216" s="2">
        <v>213</v>
      </c>
      <c r="AR216" s="29" t="s">
        <v>1027</v>
      </c>
      <c r="AS216" s="29" t="s">
        <v>1028</v>
      </c>
    </row>
    <row r="217" spans="2:45" x14ac:dyDescent="0.2">
      <c r="B217" s="2" t="s">
        <v>3863</v>
      </c>
      <c r="J217" s="29" t="s">
        <v>4306</v>
      </c>
      <c r="K217" s="29">
        <v>2436</v>
      </c>
      <c r="L217" s="29" t="s">
        <v>2924</v>
      </c>
      <c r="AQ217" s="2">
        <v>214</v>
      </c>
      <c r="AR217" s="29" t="s">
        <v>1029</v>
      </c>
      <c r="AS217" s="29" t="s">
        <v>1030</v>
      </c>
    </row>
    <row r="218" spans="2:45" x14ac:dyDescent="0.2">
      <c r="B218" s="2" t="s">
        <v>3864</v>
      </c>
      <c r="J218" s="29" t="s">
        <v>3519</v>
      </c>
      <c r="K218" s="29">
        <v>2340</v>
      </c>
      <c r="L218" s="29" t="s">
        <v>3520</v>
      </c>
      <c r="AQ218" s="2">
        <v>215</v>
      </c>
      <c r="AR218" s="29" t="s">
        <v>1031</v>
      </c>
      <c r="AS218" s="29" t="s">
        <v>1032</v>
      </c>
    </row>
    <row r="219" spans="2:45" x14ac:dyDescent="0.2">
      <c r="B219" s="2" t="s">
        <v>3865</v>
      </c>
      <c r="J219" s="29" t="s">
        <v>2929</v>
      </c>
      <c r="K219" s="29">
        <v>2071</v>
      </c>
      <c r="L219" s="29" t="s">
        <v>2930</v>
      </c>
      <c r="AQ219" s="2">
        <v>216</v>
      </c>
      <c r="AR219" s="29" t="s">
        <v>1033</v>
      </c>
      <c r="AS219" s="29" t="s">
        <v>1034</v>
      </c>
    </row>
    <row r="220" spans="2:45" x14ac:dyDescent="0.2">
      <c r="B220" s="2" t="s">
        <v>3866</v>
      </c>
      <c r="J220" s="29" t="s">
        <v>18</v>
      </c>
      <c r="K220" s="29">
        <v>186</v>
      </c>
      <c r="L220" s="29" t="s">
        <v>549</v>
      </c>
      <c r="AQ220" s="2">
        <v>217</v>
      </c>
      <c r="AR220" s="29" t="s">
        <v>1035</v>
      </c>
      <c r="AS220" s="29" t="s">
        <v>1036</v>
      </c>
    </row>
    <row r="221" spans="2:45" x14ac:dyDescent="0.2">
      <c r="B221" s="2" t="s">
        <v>3867</v>
      </c>
      <c r="J221" s="29" t="s">
        <v>2931</v>
      </c>
      <c r="K221" s="29">
        <v>2105</v>
      </c>
      <c r="L221" s="29" t="s">
        <v>2932</v>
      </c>
      <c r="AQ221" s="2">
        <v>218</v>
      </c>
      <c r="AR221" s="29" t="s">
        <v>1037</v>
      </c>
      <c r="AS221" s="29" t="s">
        <v>1038</v>
      </c>
    </row>
    <row r="222" spans="2:45" x14ac:dyDescent="0.2">
      <c r="B222" s="2" t="s">
        <v>3868</v>
      </c>
      <c r="J222" s="29" t="s">
        <v>3619</v>
      </c>
      <c r="K222" s="29">
        <v>2374</v>
      </c>
      <c r="L222" s="29" t="s">
        <v>3620</v>
      </c>
      <c r="AQ222" s="2">
        <v>219</v>
      </c>
      <c r="AR222" s="29" t="s">
        <v>1039</v>
      </c>
      <c r="AS222" s="29" t="s">
        <v>1040</v>
      </c>
    </row>
    <row r="223" spans="2:45" x14ac:dyDescent="0.2">
      <c r="B223" s="2" t="s">
        <v>3869</v>
      </c>
      <c r="J223" s="29" t="s">
        <v>19</v>
      </c>
      <c r="K223" s="29">
        <v>946</v>
      </c>
      <c r="L223" s="29" t="s">
        <v>20</v>
      </c>
      <c r="AQ223" s="2">
        <v>220</v>
      </c>
      <c r="AR223" s="29" t="s">
        <v>1041</v>
      </c>
      <c r="AS223" s="29" t="s">
        <v>1042</v>
      </c>
    </row>
    <row r="224" spans="2:45" x14ac:dyDescent="0.2">
      <c r="B224" s="2" t="s">
        <v>3870</v>
      </c>
      <c r="J224" s="29" t="s">
        <v>3059</v>
      </c>
      <c r="K224" s="29">
        <v>2195</v>
      </c>
      <c r="L224" s="29" t="s">
        <v>3060</v>
      </c>
      <c r="AQ224" s="2">
        <v>221</v>
      </c>
      <c r="AR224" s="29" t="s">
        <v>1633</v>
      </c>
      <c r="AS224" s="29" t="s">
        <v>1634</v>
      </c>
    </row>
    <row r="225" spans="2:45" x14ac:dyDescent="0.2">
      <c r="B225" s="2" t="s">
        <v>3871</v>
      </c>
      <c r="J225" s="29" t="s">
        <v>1572</v>
      </c>
      <c r="K225" s="29">
        <v>13</v>
      </c>
      <c r="L225" s="29" t="s">
        <v>1573</v>
      </c>
      <c r="AQ225" s="2">
        <v>222</v>
      </c>
      <c r="AR225" s="29" t="s">
        <v>1043</v>
      </c>
      <c r="AS225" s="29" t="s">
        <v>1044</v>
      </c>
    </row>
    <row r="226" spans="2:45" x14ac:dyDescent="0.2">
      <c r="B226" s="2" t="s">
        <v>3872</v>
      </c>
      <c r="J226" s="29" t="s">
        <v>710</v>
      </c>
      <c r="K226" s="29">
        <v>347</v>
      </c>
      <c r="L226" s="29" t="s">
        <v>568</v>
      </c>
      <c r="AQ226" s="2">
        <v>223</v>
      </c>
      <c r="AR226" s="29" t="s">
        <v>1045</v>
      </c>
      <c r="AS226" s="29" t="s">
        <v>1046</v>
      </c>
    </row>
    <row r="227" spans="2:45" x14ac:dyDescent="0.2">
      <c r="B227" s="2" t="s">
        <v>3873</v>
      </c>
      <c r="J227" s="29" t="s">
        <v>711</v>
      </c>
      <c r="K227" s="29">
        <v>983</v>
      </c>
      <c r="L227" s="29" t="s">
        <v>567</v>
      </c>
      <c r="AQ227" s="2">
        <v>224</v>
      </c>
      <c r="AR227" s="29" t="s">
        <v>1047</v>
      </c>
      <c r="AS227" s="29" t="s">
        <v>1048</v>
      </c>
    </row>
    <row r="228" spans="2:45" x14ac:dyDescent="0.2">
      <c r="B228" s="2" t="s">
        <v>3874</v>
      </c>
      <c r="J228" s="29" t="s">
        <v>21</v>
      </c>
      <c r="K228" s="29">
        <v>835</v>
      </c>
      <c r="L228" s="29" t="s">
        <v>22</v>
      </c>
      <c r="AQ228" s="2">
        <v>225</v>
      </c>
      <c r="AR228" s="29" t="s">
        <v>1049</v>
      </c>
      <c r="AS228" s="29" t="s">
        <v>1050</v>
      </c>
    </row>
    <row r="229" spans="2:45" x14ac:dyDescent="0.2">
      <c r="B229" s="2" t="s">
        <v>3875</v>
      </c>
      <c r="J229" s="29" t="s">
        <v>3521</v>
      </c>
      <c r="K229" s="29">
        <v>2277</v>
      </c>
      <c r="L229" s="29" t="s">
        <v>3522</v>
      </c>
      <c r="AQ229" s="2">
        <v>226</v>
      </c>
      <c r="AR229" s="29" t="s">
        <v>1051</v>
      </c>
      <c r="AS229" s="29" t="s">
        <v>1052</v>
      </c>
    </row>
    <row r="230" spans="2:45" x14ac:dyDescent="0.2">
      <c r="B230" s="2" t="s">
        <v>3876</v>
      </c>
      <c r="J230" s="29" t="s">
        <v>2933</v>
      </c>
      <c r="K230" s="29">
        <v>1912</v>
      </c>
      <c r="L230" s="29" t="s">
        <v>566</v>
      </c>
      <c r="AQ230" s="2">
        <v>227</v>
      </c>
      <c r="AR230" s="29" t="s">
        <v>1053</v>
      </c>
      <c r="AS230" s="29" t="s">
        <v>1054</v>
      </c>
    </row>
    <row r="231" spans="2:45" x14ac:dyDescent="0.2">
      <c r="B231" s="2" t="s">
        <v>3877</v>
      </c>
      <c r="J231" s="29" t="s">
        <v>1574</v>
      </c>
      <c r="K231" s="29">
        <v>1669</v>
      </c>
      <c r="L231" s="29" t="s">
        <v>22</v>
      </c>
      <c r="AQ231" s="2">
        <v>228</v>
      </c>
      <c r="AR231" s="29" t="s">
        <v>1055</v>
      </c>
      <c r="AS231" s="29" t="s">
        <v>1056</v>
      </c>
    </row>
    <row r="232" spans="2:45" x14ac:dyDescent="0.2">
      <c r="B232" s="2" t="s">
        <v>3878</v>
      </c>
      <c r="J232" s="29" t="s">
        <v>24</v>
      </c>
      <c r="K232" s="29">
        <v>1269</v>
      </c>
      <c r="L232" s="29" t="s">
        <v>23</v>
      </c>
      <c r="AQ232" s="2">
        <v>229</v>
      </c>
      <c r="AR232" s="29" t="s">
        <v>1635</v>
      </c>
      <c r="AS232" s="29" t="s">
        <v>1636</v>
      </c>
    </row>
    <row r="233" spans="2:45" x14ac:dyDescent="0.2">
      <c r="B233" s="2" t="s">
        <v>3879</v>
      </c>
      <c r="J233" s="29" t="s">
        <v>2934</v>
      </c>
      <c r="K233" s="29">
        <v>2072</v>
      </c>
      <c r="L233" s="29" t="s">
        <v>278</v>
      </c>
      <c r="AQ233" s="2">
        <v>230</v>
      </c>
      <c r="AR233" s="29" t="s">
        <v>1057</v>
      </c>
      <c r="AS233" s="29" t="s">
        <v>1058</v>
      </c>
    </row>
    <row r="234" spans="2:45" x14ac:dyDescent="0.2">
      <c r="B234" s="2" t="s">
        <v>3880</v>
      </c>
      <c r="J234" s="29" t="s">
        <v>3391</v>
      </c>
      <c r="K234" s="29">
        <v>2254</v>
      </c>
      <c r="L234" s="29" t="s">
        <v>787</v>
      </c>
      <c r="AQ234" s="2">
        <v>231</v>
      </c>
      <c r="AR234" s="29" t="s">
        <v>1059</v>
      </c>
      <c r="AS234" s="29" t="s">
        <v>1060</v>
      </c>
    </row>
    <row r="235" spans="2:45" x14ac:dyDescent="0.2">
      <c r="B235" s="2" t="s">
        <v>3881</v>
      </c>
      <c r="J235" s="29" t="s">
        <v>1575</v>
      </c>
      <c r="K235" s="29">
        <v>1652</v>
      </c>
      <c r="L235" s="29" t="s">
        <v>571</v>
      </c>
      <c r="AQ235" s="2">
        <v>232</v>
      </c>
      <c r="AR235" s="29" t="s">
        <v>1061</v>
      </c>
      <c r="AS235" s="29" t="s">
        <v>1062</v>
      </c>
    </row>
    <row r="236" spans="2:45" x14ac:dyDescent="0.2">
      <c r="B236" s="2" t="s">
        <v>3882</v>
      </c>
      <c r="J236" s="29" t="s">
        <v>574</v>
      </c>
      <c r="K236" s="29">
        <v>545</v>
      </c>
      <c r="L236" s="29" t="s">
        <v>575</v>
      </c>
      <c r="AQ236" s="2">
        <v>233</v>
      </c>
      <c r="AR236" s="29" t="s">
        <v>1063</v>
      </c>
      <c r="AS236" s="29" t="s">
        <v>1064</v>
      </c>
    </row>
    <row r="237" spans="2:45" x14ac:dyDescent="0.2">
      <c r="B237" s="2" t="s">
        <v>3883</v>
      </c>
      <c r="J237" s="29" t="s">
        <v>1576</v>
      </c>
      <c r="K237" s="29">
        <v>1686</v>
      </c>
      <c r="L237" s="29" t="s">
        <v>276</v>
      </c>
      <c r="AQ237" s="2">
        <v>234</v>
      </c>
      <c r="AR237" s="29" t="s">
        <v>1065</v>
      </c>
      <c r="AS237" s="29" t="s">
        <v>883</v>
      </c>
    </row>
    <row r="238" spans="2:45" x14ac:dyDescent="0.2">
      <c r="B238" s="2" t="s">
        <v>3884</v>
      </c>
      <c r="J238" s="29" t="s">
        <v>3082</v>
      </c>
      <c r="K238" s="29">
        <v>2215</v>
      </c>
      <c r="L238" s="29" t="s">
        <v>572</v>
      </c>
      <c r="AQ238" s="2">
        <v>235</v>
      </c>
      <c r="AR238" s="29" t="s">
        <v>1066</v>
      </c>
      <c r="AS238" s="29" t="s">
        <v>883</v>
      </c>
    </row>
    <row r="239" spans="2:45" x14ac:dyDescent="0.2">
      <c r="B239" s="2" t="s">
        <v>3885</v>
      </c>
      <c r="J239" s="29" t="s">
        <v>3621</v>
      </c>
      <c r="K239" s="29">
        <v>1488</v>
      </c>
      <c r="L239" s="29" t="s">
        <v>787</v>
      </c>
      <c r="AQ239" s="2">
        <v>236</v>
      </c>
      <c r="AR239" s="29" t="s">
        <v>2855</v>
      </c>
      <c r="AS239" s="29" t="s">
        <v>2856</v>
      </c>
    </row>
    <row r="240" spans="2:45" x14ac:dyDescent="0.2">
      <c r="B240" s="2" t="s">
        <v>3886</v>
      </c>
      <c r="J240" s="29" t="s">
        <v>1577</v>
      </c>
      <c r="K240" s="29">
        <v>1681</v>
      </c>
      <c r="L240" s="29" t="s">
        <v>572</v>
      </c>
      <c r="AQ240" s="2">
        <v>237</v>
      </c>
      <c r="AR240" s="29" t="s">
        <v>745</v>
      </c>
      <c r="AS240" s="29" t="s">
        <v>746</v>
      </c>
    </row>
    <row r="241" spans="2:45" x14ac:dyDescent="0.2">
      <c r="B241" s="2" t="s">
        <v>3887</v>
      </c>
      <c r="J241" s="29" t="s">
        <v>1578</v>
      </c>
      <c r="K241" s="29">
        <v>1423</v>
      </c>
      <c r="L241" s="29" t="s">
        <v>1579</v>
      </c>
      <c r="AQ241" s="2">
        <v>238</v>
      </c>
      <c r="AR241" s="29" t="s">
        <v>747</v>
      </c>
      <c r="AS241" s="29" t="s">
        <v>748</v>
      </c>
    </row>
    <row r="242" spans="2:45" x14ac:dyDescent="0.2">
      <c r="B242" s="2" t="s">
        <v>3888</v>
      </c>
      <c r="J242" s="29" t="s">
        <v>1580</v>
      </c>
      <c r="K242" s="29">
        <v>1726</v>
      </c>
      <c r="L242" s="29" t="s">
        <v>279</v>
      </c>
      <c r="AQ242" s="2">
        <v>239</v>
      </c>
      <c r="AR242" s="29" t="s">
        <v>1638</v>
      </c>
      <c r="AS242" s="29" t="s">
        <v>1639</v>
      </c>
    </row>
    <row r="243" spans="2:45" x14ac:dyDescent="0.2">
      <c r="B243" s="2" t="s">
        <v>3889</v>
      </c>
      <c r="J243" s="29" t="s">
        <v>2936</v>
      </c>
      <c r="K243" s="29">
        <v>2027</v>
      </c>
      <c r="L243" s="29" t="s">
        <v>787</v>
      </c>
      <c r="AQ243" s="2">
        <v>240</v>
      </c>
      <c r="AR243" s="29" t="s">
        <v>749</v>
      </c>
      <c r="AS243" s="29" t="s">
        <v>750</v>
      </c>
    </row>
    <row r="244" spans="2:45" x14ac:dyDescent="0.2">
      <c r="B244" s="2" t="s">
        <v>3890</v>
      </c>
      <c r="J244" s="29" t="s">
        <v>3523</v>
      </c>
      <c r="K244" s="29">
        <v>2275</v>
      </c>
      <c r="L244" s="29" t="s">
        <v>3392</v>
      </c>
      <c r="AQ244" s="2">
        <v>241</v>
      </c>
      <c r="AR244" s="29" t="s">
        <v>751</v>
      </c>
      <c r="AS244" s="29" t="s">
        <v>752</v>
      </c>
    </row>
    <row r="245" spans="2:45" x14ac:dyDescent="0.2">
      <c r="B245" s="2" t="s">
        <v>3891</v>
      </c>
      <c r="J245" s="29" t="s">
        <v>2937</v>
      </c>
      <c r="K245" s="29">
        <v>1771</v>
      </c>
      <c r="L245" s="29" t="s">
        <v>361</v>
      </c>
      <c r="AQ245" s="2">
        <v>242</v>
      </c>
      <c r="AR245" s="29" t="s">
        <v>2783</v>
      </c>
      <c r="AS245" s="29" t="s">
        <v>2784</v>
      </c>
    </row>
    <row r="246" spans="2:45" x14ac:dyDescent="0.2">
      <c r="B246" s="2" t="s">
        <v>3892</v>
      </c>
      <c r="J246" s="29" t="s">
        <v>2938</v>
      </c>
      <c r="K246" s="29">
        <v>2094</v>
      </c>
      <c r="L246" s="29" t="s">
        <v>439</v>
      </c>
      <c r="AQ246" s="2">
        <v>243</v>
      </c>
      <c r="AR246" s="29" t="s">
        <v>753</v>
      </c>
      <c r="AS246" s="29" t="s">
        <v>754</v>
      </c>
    </row>
    <row r="247" spans="2:45" x14ac:dyDescent="0.2">
      <c r="B247" s="2" t="s">
        <v>3893</v>
      </c>
      <c r="J247" s="29" t="s">
        <v>3524</v>
      </c>
      <c r="K247" s="29">
        <v>2339</v>
      </c>
      <c r="L247" s="29" t="s">
        <v>3525</v>
      </c>
      <c r="AQ247" s="2">
        <v>244</v>
      </c>
      <c r="AR247" s="29" t="s">
        <v>3045</v>
      </c>
      <c r="AS247" s="29" t="s">
        <v>3046</v>
      </c>
    </row>
    <row r="248" spans="2:45" x14ac:dyDescent="0.2">
      <c r="B248" s="2" t="s">
        <v>3894</v>
      </c>
      <c r="J248" s="29" t="s">
        <v>2939</v>
      </c>
      <c r="K248" s="29">
        <v>2088</v>
      </c>
      <c r="L248" s="29" t="s">
        <v>572</v>
      </c>
      <c r="AQ248" s="2">
        <v>245</v>
      </c>
      <c r="AR248" s="29" t="s">
        <v>1640</v>
      </c>
      <c r="AS248" s="29" t="s">
        <v>1641</v>
      </c>
    </row>
    <row r="249" spans="2:45" x14ac:dyDescent="0.2">
      <c r="B249" s="2" t="s">
        <v>3895</v>
      </c>
      <c r="J249" s="29" t="s">
        <v>3526</v>
      </c>
      <c r="K249" s="29">
        <v>2270</v>
      </c>
      <c r="L249" s="29" t="s">
        <v>279</v>
      </c>
      <c r="AQ249" s="2">
        <v>246</v>
      </c>
      <c r="AR249" s="29" t="s">
        <v>755</v>
      </c>
      <c r="AS249" s="29" t="s">
        <v>756</v>
      </c>
    </row>
    <row r="250" spans="2:45" x14ac:dyDescent="0.2">
      <c r="B250" s="2" t="s">
        <v>3896</v>
      </c>
      <c r="J250" s="29" t="s">
        <v>2940</v>
      </c>
      <c r="K250" s="29">
        <v>2076</v>
      </c>
      <c r="L250" s="29" t="s">
        <v>278</v>
      </c>
      <c r="AQ250" s="2">
        <v>247</v>
      </c>
      <c r="AR250" s="29" t="s">
        <v>757</v>
      </c>
      <c r="AS250" s="29" t="s">
        <v>758</v>
      </c>
    </row>
    <row r="251" spans="2:45" x14ac:dyDescent="0.2">
      <c r="B251" s="2" t="s">
        <v>3897</v>
      </c>
      <c r="J251" s="29" t="s">
        <v>3622</v>
      </c>
      <c r="K251" s="29">
        <v>2376</v>
      </c>
      <c r="L251" s="29" t="s">
        <v>363</v>
      </c>
      <c r="AQ251" s="2">
        <v>248</v>
      </c>
      <c r="AR251" s="29" t="s">
        <v>1642</v>
      </c>
      <c r="AS251" s="29" t="s">
        <v>1643</v>
      </c>
    </row>
    <row r="252" spans="2:45" x14ac:dyDescent="0.2">
      <c r="B252" s="2" t="s">
        <v>3898</v>
      </c>
      <c r="J252" s="29" t="s">
        <v>717</v>
      </c>
      <c r="K252" s="29">
        <v>472</v>
      </c>
      <c r="L252" s="29" t="s">
        <v>573</v>
      </c>
      <c r="AQ252" s="2">
        <v>249</v>
      </c>
      <c r="AR252" s="29" t="s">
        <v>1644</v>
      </c>
      <c r="AS252" s="29" t="s">
        <v>1645</v>
      </c>
    </row>
    <row r="253" spans="2:45" x14ac:dyDescent="0.2">
      <c r="B253" s="2" t="s">
        <v>3899</v>
      </c>
      <c r="J253" s="29" t="s">
        <v>2941</v>
      </c>
      <c r="K253" s="29">
        <v>2052</v>
      </c>
      <c r="L253" s="29" t="s">
        <v>279</v>
      </c>
      <c r="AQ253" s="2">
        <v>250</v>
      </c>
      <c r="AR253" s="29" t="s">
        <v>759</v>
      </c>
      <c r="AS253" s="29" t="s">
        <v>760</v>
      </c>
    </row>
    <row r="254" spans="2:45" x14ac:dyDescent="0.2">
      <c r="B254" s="2" t="s">
        <v>3900</v>
      </c>
      <c r="J254" s="29" t="s">
        <v>718</v>
      </c>
      <c r="K254" s="29">
        <v>762</v>
      </c>
      <c r="L254" s="29" t="s">
        <v>719</v>
      </c>
      <c r="AQ254" s="2">
        <v>251</v>
      </c>
      <c r="AR254" s="29" t="s">
        <v>2785</v>
      </c>
      <c r="AS254" s="29" t="s">
        <v>2786</v>
      </c>
    </row>
    <row r="255" spans="2:45" x14ac:dyDescent="0.2">
      <c r="B255" s="2" t="s">
        <v>3901</v>
      </c>
      <c r="J255" s="29" t="s">
        <v>3051</v>
      </c>
      <c r="K255" s="29">
        <v>2156</v>
      </c>
      <c r="L255" s="29" t="s">
        <v>25</v>
      </c>
      <c r="AQ255" s="2">
        <v>252</v>
      </c>
      <c r="AR255" s="29" t="s">
        <v>761</v>
      </c>
      <c r="AS255" s="29" t="s">
        <v>762</v>
      </c>
    </row>
    <row r="256" spans="2:45" x14ac:dyDescent="0.2">
      <c r="B256" s="2" t="s">
        <v>3902</v>
      </c>
      <c r="J256" s="29" t="s">
        <v>3623</v>
      </c>
      <c r="K256" s="29">
        <v>2410</v>
      </c>
      <c r="L256" s="29" t="s">
        <v>3624</v>
      </c>
      <c r="AQ256" s="2">
        <v>253</v>
      </c>
      <c r="AR256" s="29" t="s">
        <v>763</v>
      </c>
      <c r="AS256" s="29" t="s">
        <v>764</v>
      </c>
    </row>
    <row r="257" spans="2:45" x14ac:dyDescent="0.2">
      <c r="B257" s="2" t="s">
        <v>3903</v>
      </c>
      <c r="J257" s="29" t="s">
        <v>3527</v>
      </c>
      <c r="K257" s="29">
        <v>2278</v>
      </c>
      <c r="L257" s="29" t="s">
        <v>279</v>
      </c>
      <c r="AQ257" s="2">
        <v>254</v>
      </c>
      <c r="AR257" s="29" t="s">
        <v>765</v>
      </c>
      <c r="AS257" s="29" t="s">
        <v>766</v>
      </c>
    </row>
    <row r="258" spans="2:45" x14ac:dyDescent="0.2">
      <c r="B258" s="2" t="s">
        <v>3904</v>
      </c>
      <c r="J258" s="29" t="s">
        <v>1581</v>
      </c>
      <c r="K258" s="29">
        <v>1531</v>
      </c>
      <c r="L258" s="29" t="s">
        <v>572</v>
      </c>
      <c r="AQ258" s="2">
        <v>255</v>
      </c>
      <c r="AR258" s="29" t="s">
        <v>767</v>
      </c>
      <c r="AS258" s="29" t="s">
        <v>768</v>
      </c>
    </row>
    <row r="259" spans="2:45" x14ac:dyDescent="0.2">
      <c r="B259" s="2" t="s">
        <v>3905</v>
      </c>
      <c r="J259" s="29" t="s">
        <v>720</v>
      </c>
      <c r="K259" s="29">
        <v>26</v>
      </c>
      <c r="L259" s="29" t="s">
        <v>278</v>
      </c>
      <c r="AQ259" s="2">
        <v>256</v>
      </c>
      <c r="AR259" s="29" t="s">
        <v>769</v>
      </c>
      <c r="AS259" s="29" t="s">
        <v>770</v>
      </c>
    </row>
    <row r="260" spans="2:45" x14ac:dyDescent="0.2">
      <c r="B260" s="2" t="s">
        <v>3906</v>
      </c>
      <c r="J260" s="29" t="s">
        <v>3075</v>
      </c>
      <c r="K260" s="29">
        <v>2203</v>
      </c>
      <c r="L260" s="29" t="s">
        <v>439</v>
      </c>
      <c r="AQ260" s="2">
        <v>257</v>
      </c>
      <c r="AR260" s="29" t="s">
        <v>771</v>
      </c>
      <c r="AS260" s="29" t="s">
        <v>772</v>
      </c>
    </row>
    <row r="261" spans="2:45" x14ac:dyDescent="0.2">
      <c r="B261" s="2" t="s">
        <v>3907</v>
      </c>
      <c r="J261" s="29" t="s">
        <v>1582</v>
      </c>
      <c r="K261" s="29">
        <v>1709</v>
      </c>
      <c r="L261" s="29" t="s">
        <v>1583</v>
      </c>
      <c r="AQ261" s="2">
        <v>258</v>
      </c>
      <c r="AR261" s="29" t="s">
        <v>773</v>
      </c>
      <c r="AS261" s="29" t="s">
        <v>774</v>
      </c>
    </row>
    <row r="262" spans="2:45" x14ac:dyDescent="0.2">
      <c r="B262" s="2" t="s">
        <v>3908</v>
      </c>
      <c r="J262" s="29" t="s">
        <v>2942</v>
      </c>
      <c r="K262" s="29">
        <v>2084</v>
      </c>
      <c r="L262" s="29" t="s">
        <v>278</v>
      </c>
      <c r="AQ262" s="2">
        <v>259</v>
      </c>
      <c r="AR262" s="29" t="s">
        <v>775</v>
      </c>
      <c r="AS262" s="29" t="s">
        <v>776</v>
      </c>
    </row>
    <row r="263" spans="2:45" x14ac:dyDescent="0.2">
      <c r="B263" s="2" t="s">
        <v>3909</v>
      </c>
      <c r="J263" s="29" t="s">
        <v>1584</v>
      </c>
      <c r="K263" s="29">
        <v>1658</v>
      </c>
      <c r="L263" s="29" t="s">
        <v>1585</v>
      </c>
      <c r="AQ263" s="2">
        <v>260</v>
      </c>
      <c r="AR263" s="29" t="s">
        <v>777</v>
      </c>
      <c r="AS263" s="29" t="s">
        <v>778</v>
      </c>
    </row>
    <row r="264" spans="2:45" x14ac:dyDescent="0.2">
      <c r="B264" s="2" t="s">
        <v>3910</v>
      </c>
      <c r="J264" s="29" t="s">
        <v>2943</v>
      </c>
      <c r="K264" s="29">
        <v>2046</v>
      </c>
      <c r="L264" s="29" t="s">
        <v>543</v>
      </c>
      <c r="AQ264" s="2">
        <v>261</v>
      </c>
      <c r="AR264" s="29" t="s">
        <v>1067</v>
      </c>
      <c r="AS264" s="29" t="s">
        <v>1068</v>
      </c>
    </row>
    <row r="265" spans="2:45" x14ac:dyDescent="0.2">
      <c r="B265" s="2" t="s">
        <v>3911</v>
      </c>
      <c r="J265" s="29" t="s">
        <v>362</v>
      </c>
      <c r="K265" s="29">
        <v>110</v>
      </c>
      <c r="L265" s="29" t="s">
        <v>363</v>
      </c>
      <c r="AQ265" s="2">
        <v>262</v>
      </c>
      <c r="AR265" s="29" t="s">
        <v>1069</v>
      </c>
      <c r="AS265" s="29" t="s">
        <v>1070</v>
      </c>
    </row>
    <row r="266" spans="2:45" x14ac:dyDescent="0.2">
      <c r="B266" s="2" t="s">
        <v>3912</v>
      </c>
      <c r="J266" s="29" t="s">
        <v>592</v>
      </c>
      <c r="K266" s="29">
        <v>16</v>
      </c>
      <c r="L266" s="29" t="s">
        <v>304</v>
      </c>
      <c r="AQ266" s="2">
        <v>263</v>
      </c>
      <c r="AR266" s="29" t="s">
        <v>1071</v>
      </c>
      <c r="AS266" s="29" t="s">
        <v>1072</v>
      </c>
    </row>
    <row r="267" spans="2:45" x14ac:dyDescent="0.2">
      <c r="B267" s="2" t="s">
        <v>3913</v>
      </c>
      <c r="J267" s="29" t="s">
        <v>3625</v>
      </c>
      <c r="K267" s="29">
        <v>535</v>
      </c>
      <c r="L267" s="29" t="s">
        <v>3626</v>
      </c>
      <c r="AQ267" s="2">
        <v>264</v>
      </c>
      <c r="AR267" s="29" t="s">
        <v>1073</v>
      </c>
      <c r="AS267" s="29" t="s">
        <v>1074</v>
      </c>
    </row>
    <row r="268" spans="2:45" x14ac:dyDescent="0.2">
      <c r="B268" s="2" t="s">
        <v>3914</v>
      </c>
      <c r="J268" s="29" t="s">
        <v>2944</v>
      </c>
      <c r="K268" s="29">
        <v>2406</v>
      </c>
      <c r="L268" s="29" t="s">
        <v>1583</v>
      </c>
      <c r="AQ268" s="2">
        <v>265</v>
      </c>
      <c r="AR268" s="29" t="s">
        <v>1075</v>
      </c>
      <c r="AS268" s="29" t="s">
        <v>1076</v>
      </c>
    </row>
    <row r="269" spans="2:45" x14ac:dyDescent="0.2">
      <c r="B269" s="2" t="s">
        <v>3915</v>
      </c>
      <c r="J269" s="29" t="s">
        <v>3528</v>
      </c>
      <c r="K269" s="29">
        <v>2355</v>
      </c>
      <c r="L269" s="29" t="s">
        <v>3529</v>
      </c>
      <c r="AQ269" s="2">
        <v>266</v>
      </c>
      <c r="AR269" s="29" t="s">
        <v>1077</v>
      </c>
      <c r="AS269" s="29" t="s">
        <v>1078</v>
      </c>
    </row>
    <row r="270" spans="2:45" x14ac:dyDescent="0.2">
      <c r="B270" s="2" t="s">
        <v>3916</v>
      </c>
      <c r="J270" s="29" t="s">
        <v>3530</v>
      </c>
      <c r="K270" s="29">
        <v>2294</v>
      </c>
      <c r="L270" s="29" t="s">
        <v>363</v>
      </c>
      <c r="AQ270" s="2">
        <v>267</v>
      </c>
      <c r="AR270" s="29" t="s">
        <v>1079</v>
      </c>
      <c r="AS270" s="29" t="s">
        <v>1080</v>
      </c>
    </row>
    <row r="271" spans="2:45" x14ac:dyDescent="0.2">
      <c r="B271" s="2" t="s">
        <v>3917</v>
      </c>
      <c r="J271" s="29" t="s">
        <v>3627</v>
      </c>
      <c r="K271" s="29">
        <v>2414</v>
      </c>
      <c r="L271" s="29" t="s">
        <v>3529</v>
      </c>
      <c r="AQ271" s="2">
        <v>268</v>
      </c>
      <c r="AR271" s="29" t="s">
        <v>1081</v>
      </c>
      <c r="AS271" s="29" t="s">
        <v>1082</v>
      </c>
    </row>
    <row r="272" spans="2:45" x14ac:dyDescent="0.2">
      <c r="B272" s="2" t="s">
        <v>3918</v>
      </c>
      <c r="J272" s="29" t="s">
        <v>4307</v>
      </c>
      <c r="K272" s="29">
        <v>2443</v>
      </c>
      <c r="L272" s="29" t="s">
        <v>591</v>
      </c>
      <c r="AQ272" s="2">
        <v>269</v>
      </c>
      <c r="AR272" s="29" t="s">
        <v>1083</v>
      </c>
      <c r="AS272" s="29" t="s">
        <v>1084</v>
      </c>
    </row>
    <row r="273" spans="2:45" x14ac:dyDescent="0.2">
      <c r="B273" s="2" t="s">
        <v>3919</v>
      </c>
      <c r="J273" s="29" t="s">
        <v>722</v>
      </c>
      <c r="K273" s="29">
        <v>1030</v>
      </c>
      <c r="L273" s="29"/>
      <c r="AQ273" s="2">
        <v>270</v>
      </c>
      <c r="AR273" s="29" t="s">
        <v>1085</v>
      </c>
      <c r="AS273" s="29" t="s">
        <v>1086</v>
      </c>
    </row>
    <row r="274" spans="2:45" x14ac:dyDescent="0.2">
      <c r="B274" s="2" t="s">
        <v>3920</v>
      </c>
      <c r="J274" s="29" t="s">
        <v>2945</v>
      </c>
      <c r="K274" s="29">
        <v>1995</v>
      </c>
      <c r="L274" s="29" t="s">
        <v>582</v>
      </c>
      <c r="AQ274" s="2">
        <v>271</v>
      </c>
      <c r="AR274" s="29" t="s">
        <v>1087</v>
      </c>
      <c r="AS274" s="29" t="s">
        <v>1088</v>
      </c>
    </row>
    <row r="275" spans="2:45" x14ac:dyDescent="0.2">
      <c r="B275" s="2" t="s">
        <v>3921</v>
      </c>
      <c r="J275" s="29" t="s">
        <v>1586</v>
      </c>
      <c r="K275" s="29">
        <v>1703</v>
      </c>
      <c r="L275" s="29" t="s">
        <v>1587</v>
      </c>
      <c r="AQ275" s="2">
        <v>272</v>
      </c>
      <c r="AR275" s="29" t="s">
        <v>1089</v>
      </c>
      <c r="AS275" s="29" t="s">
        <v>1090</v>
      </c>
    </row>
    <row r="276" spans="2:45" x14ac:dyDescent="0.2">
      <c r="B276" s="2" t="s">
        <v>3922</v>
      </c>
      <c r="J276" s="29" t="s">
        <v>3628</v>
      </c>
      <c r="K276" s="29">
        <v>2413</v>
      </c>
      <c r="L276" s="29" t="s">
        <v>2949</v>
      </c>
      <c r="AQ276" s="2">
        <v>273</v>
      </c>
      <c r="AR276" s="29" t="s">
        <v>1091</v>
      </c>
      <c r="AS276" s="29" t="s">
        <v>1092</v>
      </c>
    </row>
    <row r="277" spans="2:45" x14ac:dyDescent="0.2">
      <c r="B277" s="2" t="s">
        <v>3923</v>
      </c>
      <c r="J277" s="29" t="s">
        <v>723</v>
      </c>
      <c r="K277" s="29">
        <v>1049</v>
      </c>
      <c r="L277" s="29" t="s">
        <v>582</v>
      </c>
      <c r="AQ277" s="2">
        <v>274</v>
      </c>
      <c r="AR277" s="29" t="s">
        <v>1093</v>
      </c>
      <c r="AS277" s="29" t="s">
        <v>1094</v>
      </c>
    </row>
    <row r="278" spans="2:45" x14ac:dyDescent="0.2">
      <c r="B278" s="2" t="s">
        <v>3924</v>
      </c>
      <c r="J278" s="29" t="s">
        <v>724</v>
      </c>
      <c r="K278" s="29">
        <v>74</v>
      </c>
      <c r="L278" s="29" t="s">
        <v>725</v>
      </c>
      <c r="AQ278" s="2">
        <v>275</v>
      </c>
      <c r="AR278" s="29" t="s">
        <v>1095</v>
      </c>
      <c r="AS278" s="29" t="s">
        <v>1096</v>
      </c>
    </row>
    <row r="279" spans="2:45" x14ac:dyDescent="0.2">
      <c r="B279" s="2" t="s">
        <v>3925</v>
      </c>
      <c r="J279" s="29" t="s">
        <v>3629</v>
      </c>
      <c r="K279" s="29">
        <v>2416</v>
      </c>
      <c r="L279" s="29" t="s">
        <v>3630</v>
      </c>
      <c r="AQ279" s="2">
        <v>276</v>
      </c>
      <c r="AR279" s="29" t="s">
        <v>1097</v>
      </c>
      <c r="AS279" s="29" t="s">
        <v>1098</v>
      </c>
    </row>
    <row r="280" spans="2:45" x14ac:dyDescent="0.2">
      <c r="B280" s="2" t="s">
        <v>3926</v>
      </c>
      <c r="J280" s="29" t="s">
        <v>2946</v>
      </c>
      <c r="K280" s="29">
        <v>1286</v>
      </c>
      <c r="L280" s="29" t="s">
        <v>2947</v>
      </c>
      <c r="AQ280" s="2">
        <v>277</v>
      </c>
      <c r="AR280" s="29" t="s">
        <v>1476</v>
      </c>
      <c r="AS280" s="29" t="s">
        <v>1477</v>
      </c>
    </row>
    <row r="281" spans="2:45" x14ac:dyDescent="0.2">
      <c r="B281" s="2" t="s">
        <v>3927</v>
      </c>
      <c r="J281" s="29" t="s">
        <v>2948</v>
      </c>
      <c r="K281" s="29">
        <v>1996</v>
      </c>
      <c r="L281" s="29" t="s">
        <v>2949</v>
      </c>
      <c r="AQ281" s="2">
        <v>278</v>
      </c>
      <c r="AR281" s="29" t="s">
        <v>1099</v>
      </c>
      <c r="AS281" s="29" t="s">
        <v>1100</v>
      </c>
    </row>
    <row r="282" spans="2:45" x14ac:dyDescent="0.2">
      <c r="B282" s="2" t="s">
        <v>3928</v>
      </c>
      <c r="J282" s="29" t="s">
        <v>3393</v>
      </c>
      <c r="K282" s="29">
        <v>2246</v>
      </c>
      <c r="L282" s="29" t="s">
        <v>3394</v>
      </c>
      <c r="AQ282" s="2">
        <v>279</v>
      </c>
      <c r="AR282" s="29" t="s">
        <v>1101</v>
      </c>
      <c r="AS282" s="29" t="s">
        <v>1102</v>
      </c>
    </row>
    <row r="283" spans="2:45" x14ac:dyDescent="0.2">
      <c r="B283" s="2" t="s">
        <v>3929</v>
      </c>
      <c r="J283" s="29" t="s">
        <v>726</v>
      </c>
      <c r="K283" s="29">
        <v>1018</v>
      </c>
      <c r="L283" s="29" t="s">
        <v>364</v>
      </c>
      <c r="AQ283" s="2">
        <v>280</v>
      </c>
      <c r="AR283" s="29" t="s">
        <v>1103</v>
      </c>
      <c r="AS283" s="29" t="s">
        <v>1104</v>
      </c>
    </row>
    <row r="284" spans="2:45" x14ac:dyDescent="0.2">
      <c r="B284" s="2" t="s">
        <v>3930</v>
      </c>
      <c r="J284" s="29" t="s">
        <v>727</v>
      </c>
      <c r="K284" s="29">
        <v>1056</v>
      </c>
      <c r="L284" s="29" t="s">
        <v>728</v>
      </c>
      <c r="AQ284" s="2">
        <v>281</v>
      </c>
      <c r="AR284" s="29" t="s">
        <v>1105</v>
      </c>
      <c r="AS284" s="29" t="s">
        <v>1106</v>
      </c>
    </row>
    <row r="285" spans="2:45" x14ac:dyDescent="0.2">
      <c r="B285" s="2" t="s">
        <v>3931</v>
      </c>
      <c r="J285" s="29" t="s">
        <v>3395</v>
      </c>
      <c r="K285" s="29">
        <v>1552</v>
      </c>
      <c r="L285" s="29" t="s">
        <v>2951</v>
      </c>
      <c r="AQ285" s="2">
        <v>282</v>
      </c>
      <c r="AR285" s="29" t="s">
        <v>1107</v>
      </c>
      <c r="AS285" s="29" t="s">
        <v>1108</v>
      </c>
    </row>
    <row r="286" spans="2:45" x14ac:dyDescent="0.2">
      <c r="B286" s="2" t="s">
        <v>3932</v>
      </c>
      <c r="J286" s="29" t="s">
        <v>2950</v>
      </c>
      <c r="K286" s="29">
        <v>2039</v>
      </c>
      <c r="L286" s="29" t="s">
        <v>2951</v>
      </c>
      <c r="AQ286" s="2">
        <v>283</v>
      </c>
      <c r="AR286" s="29" t="s">
        <v>1109</v>
      </c>
      <c r="AS286" s="29" t="s">
        <v>1110</v>
      </c>
    </row>
    <row r="287" spans="2:45" x14ac:dyDescent="0.2">
      <c r="B287" s="2" t="s">
        <v>3933</v>
      </c>
      <c r="J287" s="29" t="s">
        <v>729</v>
      </c>
      <c r="K287" s="29">
        <v>938</v>
      </c>
      <c r="L287" s="29" t="s">
        <v>730</v>
      </c>
      <c r="AQ287" s="2">
        <v>284</v>
      </c>
      <c r="AR287" s="29" t="s">
        <v>1111</v>
      </c>
      <c r="AS287" s="29" t="s">
        <v>1112</v>
      </c>
    </row>
    <row r="288" spans="2:45" x14ac:dyDescent="0.2">
      <c r="B288" s="2" t="s">
        <v>3934</v>
      </c>
      <c r="J288" s="29" t="s">
        <v>3531</v>
      </c>
      <c r="K288" s="29">
        <v>2350</v>
      </c>
      <c r="L288" s="29" t="s">
        <v>3532</v>
      </c>
      <c r="AQ288" s="2">
        <v>285</v>
      </c>
      <c r="AR288" s="29" t="s">
        <v>1113</v>
      </c>
      <c r="AS288" s="29" t="s">
        <v>1114</v>
      </c>
    </row>
    <row r="289" spans="2:45" x14ac:dyDescent="0.2">
      <c r="B289" s="2" t="s">
        <v>3935</v>
      </c>
      <c r="J289" s="29" t="s">
        <v>731</v>
      </c>
      <c r="K289" s="29">
        <v>499</v>
      </c>
      <c r="L289" s="29" t="s">
        <v>365</v>
      </c>
      <c r="AQ289" s="2">
        <v>286</v>
      </c>
      <c r="AR289" s="29" t="s">
        <v>1115</v>
      </c>
      <c r="AS289" s="29" t="s">
        <v>1116</v>
      </c>
    </row>
    <row r="290" spans="2:45" x14ac:dyDescent="0.2">
      <c r="B290" s="2" t="s">
        <v>3936</v>
      </c>
      <c r="J290" s="29" t="s">
        <v>3533</v>
      </c>
      <c r="K290" s="29">
        <v>654</v>
      </c>
      <c r="L290" s="29"/>
      <c r="AQ290" s="2">
        <v>287</v>
      </c>
      <c r="AR290" s="29" t="s">
        <v>1117</v>
      </c>
      <c r="AS290" s="29" t="s">
        <v>1118</v>
      </c>
    </row>
    <row r="291" spans="2:45" x14ac:dyDescent="0.2">
      <c r="B291" s="2" t="s">
        <v>3937</v>
      </c>
      <c r="J291" s="29" t="s">
        <v>1588</v>
      </c>
      <c r="K291" s="29">
        <v>1723</v>
      </c>
      <c r="L291" s="29" t="s">
        <v>536</v>
      </c>
      <c r="AQ291" s="2">
        <v>288</v>
      </c>
      <c r="AR291" s="29" t="s">
        <v>1119</v>
      </c>
      <c r="AS291" s="29" t="s">
        <v>1120</v>
      </c>
    </row>
    <row r="292" spans="2:45" x14ac:dyDescent="0.2">
      <c r="B292" s="2" t="s">
        <v>3938</v>
      </c>
      <c r="J292" s="29" t="s">
        <v>732</v>
      </c>
      <c r="K292" s="29">
        <v>1564</v>
      </c>
      <c r="L292" s="29" t="s">
        <v>733</v>
      </c>
      <c r="AQ292" s="2">
        <v>289</v>
      </c>
      <c r="AR292" s="29" t="s">
        <v>1121</v>
      </c>
      <c r="AS292" s="29" t="s">
        <v>1122</v>
      </c>
    </row>
    <row r="293" spans="2:45" x14ac:dyDescent="0.2">
      <c r="B293" s="2" t="s">
        <v>3939</v>
      </c>
      <c r="J293" s="29" t="s">
        <v>734</v>
      </c>
      <c r="K293" s="29">
        <v>326</v>
      </c>
      <c r="L293" s="29" t="s">
        <v>366</v>
      </c>
      <c r="AQ293" s="2">
        <v>290</v>
      </c>
      <c r="AR293" s="29" t="s">
        <v>1123</v>
      </c>
      <c r="AS293" s="29" t="s">
        <v>1124</v>
      </c>
    </row>
    <row r="294" spans="2:45" x14ac:dyDescent="0.2">
      <c r="B294" s="2" t="s">
        <v>3940</v>
      </c>
      <c r="J294" s="29" t="s">
        <v>368</v>
      </c>
      <c r="K294" s="29">
        <v>179</v>
      </c>
      <c r="L294" s="29" t="s">
        <v>369</v>
      </c>
      <c r="AQ294" s="2">
        <v>291</v>
      </c>
      <c r="AR294" s="29" t="s">
        <v>1125</v>
      </c>
      <c r="AS294" s="29" t="s">
        <v>1126</v>
      </c>
    </row>
    <row r="295" spans="2:45" x14ac:dyDescent="0.2">
      <c r="B295" s="2" t="s">
        <v>3941</v>
      </c>
      <c r="J295" s="29" t="s">
        <v>3061</v>
      </c>
      <c r="K295" s="29">
        <v>1704</v>
      </c>
      <c r="L295" s="29" t="s">
        <v>3062</v>
      </c>
      <c r="AQ295" s="2">
        <v>292</v>
      </c>
      <c r="AR295" s="29" t="s">
        <v>1127</v>
      </c>
      <c r="AS295" s="29" t="s">
        <v>1128</v>
      </c>
    </row>
    <row r="296" spans="2:45" x14ac:dyDescent="0.2">
      <c r="B296" s="2" t="s">
        <v>3942</v>
      </c>
      <c r="J296" s="29" t="s">
        <v>2952</v>
      </c>
      <c r="K296" s="29">
        <v>2022</v>
      </c>
      <c r="L296" s="29" t="s">
        <v>2953</v>
      </c>
      <c r="AQ296" s="2">
        <v>293</v>
      </c>
      <c r="AR296" s="29" t="s">
        <v>1129</v>
      </c>
      <c r="AS296" s="29" t="s">
        <v>1130</v>
      </c>
    </row>
    <row r="297" spans="2:45" x14ac:dyDescent="0.2">
      <c r="B297" s="2" t="s">
        <v>3943</v>
      </c>
      <c r="J297" s="29" t="s">
        <v>4308</v>
      </c>
      <c r="K297" s="29">
        <v>2431</v>
      </c>
      <c r="L297" s="29" t="s">
        <v>231</v>
      </c>
      <c r="AQ297" s="2">
        <v>294</v>
      </c>
      <c r="AR297" s="29" t="s">
        <v>1131</v>
      </c>
      <c r="AS297" s="29" t="s">
        <v>1132</v>
      </c>
    </row>
    <row r="298" spans="2:45" x14ac:dyDescent="0.2">
      <c r="B298" s="2" t="s">
        <v>3944</v>
      </c>
      <c r="J298" s="29" t="s">
        <v>2954</v>
      </c>
      <c r="K298" s="29">
        <v>2033</v>
      </c>
      <c r="L298" s="29" t="s">
        <v>2953</v>
      </c>
      <c r="AQ298" s="2">
        <v>295</v>
      </c>
      <c r="AR298" s="29" t="s">
        <v>1133</v>
      </c>
      <c r="AS298" s="29" t="s">
        <v>1134</v>
      </c>
    </row>
    <row r="299" spans="2:45" x14ac:dyDescent="0.2">
      <c r="B299" s="2" t="s">
        <v>3945</v>
      </c>
      <c r="J299" s="29" t="s">
        <v>4309</v>
      </c>
      <c r="K299" s="29">
        <v>2425</v>
      </c>
      <c r="L299" s="29" t="s">
        <v>4310</v>
      </c>
      <c r="AQ299" s="2">
        <v>296</v>
      </c>
      <c r="AR299" s="29" t="s">
        <v>1135</v>
      </c>
      <c r="AS299" s="29" t="s">
        <v>1136</v>
      </c>
    </row>
    <row r="300" spans="2:45" x14ac:dyDescent="0.2">
      <c r="B300" s="2" t="s">
        <v>3946</v>
      </c>
      <c r="J300" s="29" t="s">
        <v>735</v>
      </c>
      <c r="K300" s="29">
        <v>513</v>
      </c>
      <c r="L300" s="29" t="s">
        <v>367</v>
      </c>
      <c r="AQ300" s="2">
        <v>297</v>
      </c>
      <c r="AR300" s="29" t="s">
        <v>1137</v>
      </c>
      <c r="AS300" s="29" t="s">
        <v>1138</v>
      </c>
    </row>
    <row r="301" spans="2:45" x14ac:dyDescent="0.2">
      <c r="B301" s="2" t="s">
        <v>3947</v>
      </c>
      <c r="J301" s="29" t="s">
        <v>3631</v>
      </c>
      <c r="K301" s="29">
        <v>2415</v>
      </c>
      <c r="L301" s="29" t="s">
        <v>3632</v>
      </c>
      <c r="AQ301" s="2">
        <v>298</v>
      </c>
      <c r="AR301" s="29" t="s">
        <v>1139</v>
      </c>
      <c r="AS301" s="29" t="s">
        <v>1140</v>
      </c>
    </row>
    <row r="302" spans="2:45" x14ac:dyDescent="0.2">
      <c r="B302" s="2" t="s">
        <v>3948</v>
      </c>
      <c r="J302" s="29" t="s">
        <v>3534</v>
      </c>
      <c r="K302" s="29">
        <v>2352</v>
      </c>
      <c r="L302" s="29" t="s">
        <v>236</v>
      </c>
      <c r="AQ302" s="2">
        <v>299</v>
      </c>
      <c r="AR302" s="29" t="s">
        <v>1141</v>
      </c>
      <c r="AS302" s="29" t="s">
        <v>1142</v>
      </c>
    </row>
    <row r="303" spans="2:45" x14ac:dyDescent="0.2">
      <c r="B303" s="2" t="s">
        <v>3949</v>
      </c>
      <c r="J303" s="29" t="s">
        <v>736</v>
      </c>
      <c r="K303" s="29">
        <v>693</v>
      </c>
      <c r="L303" s="29" t="s">
        <v>370</v>
      </c>
      <c r="AQ303" s="2">
        <v>300</v>
      </c>
      <c r="AR303" s="29" t="s">
        <v>1143</v>
      </c>
      <c r="AS303" s="29" t="s">
        <v>1144</v>
      </c>
    </row>
    <row r="304" spans="2:45" x14ac:dyDescent="0.2">
      <c r="B304" s="2" t="s">
        <v>3950</v>
      </c>
      <c r="J304" s="29" t="s">
        <v>3633</v>
      </c>
      <c r="K304" s="29">
        <v>2365</v>
      </c>
      <c r="L304" s="29" t="s">
        <v>3634</v>
      </c>
      <c r="AQ304" s="2">
        <v>301</v>
      </c>
      <c r="AR304" s="29" t="s">
        <v>1145</v>
      </c>
      <c r="AS304" s="29" t="s">
        <v>1146</v>
      </c>
    </row>
    <row r="305" spans="2:45" x14ac:dyDescent="0.2">
      <c r="B305" s="2" t="s">
        <v>3951</v>
      </c>
      <c r="J305" s="29" t="s">
        <v>4311</v>
      </c>
      <c r="K305" s="29">
        <v>2447</v>
      </c>
      <c r="L305" s="29" t="s">
        <v>3536</v>
      </c>
      <c r="AQ305" s="2">
        <v>302</v>
      </c>
      <c r="AR305" s="29" t="s">
        <v>1147</v>
      </c>
      <c r="AS305" s="29" t="s">
        <v>1148</v>
      </c>
    </row>
    <row r="306" spans="2:45" x14ac:dyDescent="0.2">
      <c r="B306" s="2" t="s">
        <v>3952</v>
      </c>
      <c r="J306" s="29" t="s">
        <v>3535</v>
      </c>
      <c r="K306" s="29">
        <v>594</v>
      </c>
      <c r="L306" s="29" t="s">
        <v>3536</v>
      </c>
      <c r="AQ306" s="2">
        <v>303</v>
      </c>
      <c r="AR306" s="29" t="s">
        <v>1149</v>
      </c>
      <c r="AS306" s="29" t="s">
        <v>1150</v>
      </c>
    </row>
    <row r="307" spans="2:45" x14ac:dyDescent="0.2">
      <c r="B307" s="2" t="s">
        <v>3953</v>
      </c>
      <c r="J307" s="29" t="s">
        <v>737</v>
      </c>
      <c r="K307" s="29">
        <v>335</v>
      </c>
      <c r="L307" s="29" t="s">
        <v>371</v>
      </c>
      <c r="AQ307" s="2">
        <v>304</v>
      </c>
      <c r="AR307" s="29" t="s">
        <v>1151</v>
      </c>
      <c r="AS307" s="29" t="s">
        <v>1152</v>
      </c>
    </row>
    <row r="308" spans="2:45" x14ac:dyDescent="0.2">
      <c r="B308" s="2" t="s">
        <v>3954</v>
      </c>
      <c r="J308" s="29" t="s">
        <v>2955</v>
      </c>
      <c r="K308" s="29">
        <v>2060</v>
      </c>
      <c r="L308" s="29" t="s">
        <v>2956</v>
      </c>
      <c r="AQ308" s="2">
        <v>305</v>
      </c>
      <c r="AR308" s="29" t="s">
        <v>1153</v>
      </c>
      <c r="AS308" s="29" t="s">
        <v>1154</v>
      </c>
    </row>
    <row r="309" spans="2:45" x14ac:dyDescent="0.2">
      <c r="B309" s="2" t="s">
        <v>3955</v>
      </c>
      <c r="J309" s="29"/>
      <c r="K309" s="29"/>
      <c r="L309" s="29"/>
      <c r="AQ309" s="2">
        <v>306</v>
      </c>
      <c r="AR309" s="29" t="s">
        <v>1155</v>
      </c>
      <c r="AS309" s="29" t="s">
        <v>1156</v>
      </c>
    </row>
    <row r="310" spans="2:45" x14ac:dyDescent="0.2">
      <c r="B310" s="2" t="s">
        <v>3956</v>
      </c>
      <c r="J310" s="29"/>
      <c r="K310" s="29"/>
      <c r="L310" s="29"/>
      <c r="AQ310" s="2">
        <v>307</v>
      </c>
      <c r="AR310" s="29" t="s">
        <v>1157</v>
      </c>
      <c r="AS310" s="29" t="s">
        <v>1158</v>
      </c>
    </row>
    <row r="311" spans="2:45" x14ac:dyDescent="0.2">
      <c r="B311" s="2" t="s">
        <v>3957</v>
      </c>
      <c r="J311" s="29"/>
      <c r="K311" s="29"/>
      <c r="L311" s="29"/>
      <c r="AQ311" s="2">
        <v>308</v>
      </c>
      <c r="AR311" s="29" t="s">
        <v>1159</v>
      </c>
      <c r="AS311" s="29" t="s">
        <v>1160</v>
      </c>
    </row>
    <row r="312" spans="2:45" x14ac:dyDescent="0.2">
      <c r="B312" s="2" t="s">
        <v>3958</v>
      </c>
      <c r="J312" s="29"/>
      <c r="K312" s="29"/>
      <c r="L312" s="29"/>
      <c r="AQ312" s="2">
        <v>309</v>
      </c>
      <c r="AR312" s="29" t="s">
        <v>1161</v>
      </c>
      <c r="AS312" s="29" t="s">
        <v>1162</v>
      </c>
    </row>
    <row r="313" spans="2:45" x14ac:dyDescent="0.2">
      <c r="B313" s="2" t="s">
        <v>3959</v>
      </c>
      <c r="J313" s="29"/>
      <c r="K313" s="29"/>
      <c r="L313" s="29"/>
      <c r="AQ313" s="2">
        <v>310</v>
      </c>
      <c r="AR313" s="29" t="s">
        <v>1163</v>
      </c>
      <c r="AS313" s="29" t="s">
        <v>1164</v>
      </c>
    </row>
    <row r="314" spans="2:45" x14ac:dyDescent="0.2">
      <c r="B314" s="2" t="s">
        <v>3960</v>
      </c>
      <c r="J314" s="29"/>
      <c r="K314" s="29"/>
      <c r="L314" s="29"/>
      <c r="AQ314" s="2">
        <v>311</v>
      </c>
      <c r="AR314" s="29" t="s">
        <v>1165</v>
      </c>
      <c r="AS314" s="29" t="s">
        <v>1166</v>
      </c>
    </row>
    <row r="315" spans="2:45" x14ac:dyDescent="0.2">
      <c r="B315" s="2" t="s">
        <v>3961</v>
      </c>
      <c r="J315" s="29"/>
      <c r="K315" s="29"/>
      <c r="L315" s="29"/>
      <c r="AQ315" s="2">
        <v>312</v>
      </c>
      <c r="AR315" s="29" t="s">
        <v>1167</v>
      </c>
      <c r="AS315" s="29" t="s">
        <v>1168</v>
      </c>
    </row>
    <row r="316" spans="2:45" x14ac:dyDescent="0.2">
      <c r="B316" s="2" t="s">
        <v>3962</v>
      </c>
      <c r="J316" s="29"/>
      <c r="K316" s="29"/>
      <c r="L316" s="29"/>
      <c r="AQ316" s="2">
        <v>313</v>
      </c>
      <c r="AR316" s="29" t="s">
        <v>1169</v>
      </c>
      <c r="AS316" s="29" t="s">
        <v>1170</v>
      </c>
    </row>
    <row r="317" spans="2:45" x14ac:dyDescent="0.2">
      <c r="B317" s="2" t="s">
        <v>3963</v>
      </c>
      <c r="J317" s="29"/>
      <c r="K317" s="29"/>
      <c r="L317" s="29"/>
      <c r="AQ317" s="2">
        <v>314</v>
      </c>
      <c r="AR317" s="29" t="s">
        <v>1171</v>
      </c>
      <c r="AS317" s="29" t="s">
        <v>1172</v>
      </c>
    </row>
    <row r="318" spans="2:45" x14ac:dyDescent="0.2">
      <c r="B318" s="2" t="s">
        <v>3964</v>
      </c>
      <c r="J318" s="29"/>
      <c r="K318" s="29"/>
      <c r="L318" s="29"/>
      <c r="AQ318" s="2">
        <v>315</v>
      </c>
      <c r="AR318" s="29" t="s">
        <v>1173</v>
      </c>
      <c r="AS318" s="29" t="s">
        <v>1174</v>
      </c>
    </row>
    <row r="319" spans="2:45" x14ac:dyDescent="0.2">
      <c r="B319" s="2" t="s">
        <v>3965</v>
      </c>
      <c r="J319" s="29"/>
      <c r="K319" s="29"/>
      <c r="L319" s="29"/>
      <c r="AQ319" s="2">
        <v>316</v>
      </c>
      <c r="AR319" s="29" t="s">
        <v>1175</v>
      </c>
      <c r="AS319" s="29" t="s">
        <v>1176</v>
      </c>
    </row>
    <row r="320" spans="2:45" x14ac:dyDescent="0.2">
      <c r="B320" s="2" t="s">
        <v>3966</v>
      </c>
      <c r="J320" s="29"/>
      <c r="K320" s="29"/>
      <c r="L320" s="29"/>
      <c r="AQ320" s="2">
        <v>317</v>
      </c>
      <c r="AR320" s="29" t="s">
        <v>1177</v>
      </c>
      <c r="AS320" s="29" t="s">
        <v>1178</v>
      </c>
    </row>
    <row r="321" spans="2:45" x14ac:dyDescent="0.2">
      <c r="B321" s="2" t="s">
        <v>3967</v>
      </c>
      <c r="J321" s="29"/>
      <c r="K321" s="29"/>
      <c r="L321" s="29"/>
      <c r="AQ321" s="2">
        <v>318</v>
      </c>
      <c r="AR321" s="29" t="s">
        <v>1179</v>
      </c>
      <c r="AS321" s="29" t="s">
        <v>1180</v>
      </c>
    </row>
    <row r="322" spans="2:45" x14ac:dyDescent="0.2">
      <c r="B322" s="2" t="s">
        <v>3968</v>
      </c>
      <c r="J322" s="29"/>
      <c r="K322" s="29"/>
      <c r="L322" s="29"/>
      <c r="AQ322" s="2">
        <v>319</v>
      </c>
      <c r="AR322" s="29" t="s">
        <v>1181</v>
      </c>
      <c r="AS322" s="29" t="s">
        <v>1182</v>
      </c>
    </row>
    <row r="323" spans="2:45" x14ac:dyDescent="0.2">
      <c r="B323" s="2" t="s">
        <v>3969</v>
      </c>
      <c r="J323" s="29"/>
      <c r="K323" s="29"/>
      <c r="L323" s="29"/>
      <c r="AQ323" s="2">
        <v>320</v>
      </c>
      <c r="AR323" s="29" t="s">
        <v>1183</v>
      </c>
      <c r="AS323" s="29" t="s">
        <v>1184</v>
      </c>
    </row>
    <row r="324" spans="2:45" x14ac:dyDescent="0.2">
      <c r="B324" s="2" t="s">
        <v>3970</v>
      </c>
      <c r="J324" s="29"/>
      <c r="K324" s="29"/>
      <c r="L324" s="29"/>
      <c r="AQ324" s="2">
        <v>321</v>
      </c>
      <c r="AR324" s="29" t="s">
        <v>1185</v>
      </c>
      <c r="AS324" s="29" t="s">
        <v>1186</v>
      </c>
    </row>
    <row r="325" spans="2:45" x14ac:dyDescent="0.2">
      <c r="B325" s="2" t="s">
        <v>3971</v>
      </c>
      <c r="J325" s="29"/>
      <c r="K325" s="29"/>
      <c r="L325" s="29"/>
      <c r="AQ325" s="2">
        <v>322</v>
      </c>
      <c r="AR325" s="29" t="s">
        <v>1187</v>
      </c>
      <c r="AS325" s="29" t="s">
        <v>1188</v>
      </c>
    </row>
    <row r="326" spans="2:45" x14ac:dyDescent="0.2">
      <c r="B326" s="2" t="s">
        <v>3972</v>
      </c>
      <c r="J326" s="29"/>
      <c r="K326" s="29"/>
      <c r="L326" s="29"/>
      <c r="AQ326" s="2">
        <v>323</v>
      </c>
      <c r="AR326" s="29" t="s">
        <v>1189</v>
      </c>
      <c r="AS326" s="29" t="s">
        <v>1190</v>
      </c>
    </row>
    <row r="327" spans="2:45" x14ac:dyDescent="0.2">
      <c r="B327" s="2" t="s">
        <v>3973</v>
      </c>
      <c r="J327" s="29"/>
      <c r="K327" s="29"/>
      <c r="L327" s="29"/>
      <c r="AQ327" s="2">
        <v>324</v>
      </c>
      <c r="AR327" s="29" t="s">
        <v>1191</v>
      </c>
      <c r="AS327" s="29" t="s">
        <v>1192</v>
      </c>
    </row>
    <row r="328" spans="2:45" x14ac:dyDescent="0.2">
      <c r="B328" s="2" t="s">
        <v>3974</v>
      </c>
      <c r="J328" s="29"/>
      <c r="K328" s="29"/>
      <c r="L328" s="29"/>
      <c r="AQ328" s="2">
        <v>325</v>
      </c>
      <c r="AR328" s="29" t="s">
        <v>1193</v>
      </c>
      <c r="AS328" s="29" t="s">
        <v>1194</v>
      </c>
    </row>
    <row r="329" spans="2:45" x14ac:dyDescent="0.2">
      <c r="B329" s="2" t="s">
        <v>3975</v>
      </c>
      <c r="J329" s="29"/>
      <c r="K329" s="29"/>
      <c r="L329" s="29"/>
      <c r="AQ329" s="2">
        <v>326</v>
      </c>
      <c r="AR329" s="29" t="s">
        <v>1195</v>
      </c>
      <c r="AS329" s="29" t="s">
        <v>1196</v>
      </c>
    </row>
    <row r="330" spans="2:45" x14ac:dyDescent="0.2">
      <c r="B330" s="2" t="s">
        <v>3976</v>
      </c>
      <c r="J330" s="29"/>
      <c r="K330" s="29"/>
      <c r="L330" s="29"/>
      <c r="AQ330" s="2">
        <v>327</v>
      </c>
      <c r="AR330" s="29" t="s">
        <v>1197</v>
      </c>
      <c r="AS330" s="29" t="s">
        <v>1198</v>
      </c>
    </row>
    <row r="331" spans="2:45" x14ac:dyDescent="0.2">
      <c r="B331" s="2" t="s">
        <v>3977</v>
      </c>
      <c r="J331" s="29"/>
      <c r="K331" s="29"/>
      <c r="L331" s="29"/>
      <c r="AQ331" s="2">
        <v>328</v>
      </c>
      <c r="AR331" s="29" t="s">
        <v>1199</v>
      </c>
      <c r="AS331" s="29" t="s">
        <v>1200</v>
      </c>
    </row>
    <row r="332" spans="2:45" x14ac:dyDescent="0.2">
      <c r="B332" s="2" t="s">
        <v>3978</v>
      </c>
      <c r="J332" s="29"/>
      <c r="K332" s="29"/>
      <c r="L332" s="29"/>
      <c r="AQ332" s="2">
        <v>329</v>
      </c>
      <c r="AR332" s="29" t="s">
        <v>1201</v>
      </c>
      <c r="AS332" s="29" t="s">
        <v>1202</v>
      </c>
    </row>
    <row r="333" spans="2:45" x14ac:dyDescent="0.2">
      <c r="B333" s="2" t="s">
        <v>3979</v>
      </c>
      <c r="J333" s="29"/>
      <c r="K333" s="29"/>
      <c r="L333" s="29"/>
      <c r="AQ333" s="2">
        <v>330</v>
      </c>
      <c r="AR333" s="29" t="s">
        <v>1203</v>
      </c>
      <c r="AS333" s="29" t="s">
        <v>1204</v>
      </c>
    </row>
    <row r="334" spans="2:45" x14ac:dyDescent="0.2">
      <c r="B334" s="2" t="s">
        <v>3980</v>
      </c>
      <c r="J334" s="29"/>
      <c r="K334" s="29"/>
      <c r="L334" s="29"/>
      <c r="AQ334" s="2">
        <v>331</v>
      </c>
      <c r="AR334" s="29" t="s">
        <v>1211</v>
      </c>
      <c r="AS334" s="29" t="s">
        <v>1212</v>
      </c>
    </row>
    <row r="335" spans="2:45" x14ac:dyDescent="0.2">
      <c r="B335" s="2" t="s">
        <v>3981</v>
      </c>
      <c r="J335" s="29"/>
      <c r="K335" s="29"/>
      <c r="L335" s="29"/>
      <c r="AQ335" s="2">
        <v>332</v>
      </c>
      <c r="AR335" s="29" t="s">
        <v>1216</v>
      </c>
      <c r="AS335" s="29" t="s">
        <v>1217</v>
      </c>
    </row>
    <row r="336" spans="2:45" x14ac:dyDescent="0.2">
      <c r="B336" s="2" t="s">
        <v>3982</v>
      </c>
      <c r="J336" s="29"/>
      <c r="K336" s="29"/>
      <c r="L336" s="29"/>
      <c r="AQ336" s="2">
        <v>333</v>
      </c>
      <c r="AR336" s="29" t="s">
        <v>1218</v>
      </c>
      <c r="AS336" s="29" t="s">
        <v>1219</v>
      </c>
    </row>
    <row r="337" spans="2:45" x14ac:dyDescent="0.2">
      <c r="B337" s="2" t="s">
        <v>3983</v>
      </c>
      <c r="J337" s="29"/>
      <c r="K337" s="29"/>
      <c r="L337" s="29"/>
      <c r="AQ337" s="2">
        <v>334</v>
      </c>
      <c r="AR337" s="29" t="s">
        <v>1220</v>
      </c>
      <c r="AS337" s="29" t="s">
        <v>1221</v>
      </c>
    </row>
    <row r="338" spans="2:45" x14ac:dyDescent="0.2">
      <c r="B338" s="2" t="s">
        <v>3984</v>
      </c>
      <c r="J338" s="29"/>
      <c r="K338" s="29"/>
      <c r="L338" s="29"/>
      <c r="AQ338" s="2">
        <v>335</v>
      </c>
      <c r="AR338" s="29" t="s">
        <v>1223</v>
      </c>
      <c r="AS338" s="29" t="s">
        <v>1224</v>
      </c>
    </row>
    <row r="339" spans="2:45" x14ac:dyDescent="0.2">
      <c r="B339" s="2" t="s">
        <v>3985</v>
      </c>
      <c r="J339" s="29"/>
      <c r="K339" s="29"/>
      <c r="L339" s="29"/>
      <c r="AQ339" s="2">
        <v>336</v>
      </c>
      <c r="AR339" s="29" t="s">
        <v>1227</v>
      </c>
      <c r="AS339" s="29" t="s">
        <v>1228</v>
      </c>
    </row>
    <row r="340" spans="2:45" x14ac:dyDescent="0.2">
      <c r="B340" s="2" t="s">
        <v>3986</v>
      </c>
      <c r="J340" s="29"/>
      <c r="K340" s="29"/>
      <c r="L340" s="29"/>
      <c r="AQ340" s="2">
        <v>337</v>
      </c>
      <c r="AR340" s="29" t="s">
        <v>1229</v>
      </c>
      <c r="AS340" s="29" t="s">
        <v>1230</v>
      </c>
    </row>
    <row r="341" spans="2:45" x14ac:dyDescent="0.2">
      <c r="B341" s="2" t="s">
        <v>3987</v>
      </c>
      <c r="J341" s="29"/>
      <c r="K341" s="29"/>
      <c r="L341" s="29"/>
      <c r="AQ341" s="2">
        <v>338</v>
      </c>
      <c r="AR341" s="29" t="s">
        <v>1232</v>
      </c>
      <c r="AS341" s="29" t="s">
        <v>1233</v>
      </c>
    </row>
    <row r="342" spans="2:45" x14ac:dyDescent="0.2">
      <c r="B342" s="2" t="s">
        <v>3988</v>
      </c>
      <c r="J342" s="29"/>
      <c r="K342" s="29"/>
      <c r="L342" s="29"/>
      <c r="AQ342" s="2">
        <v>339</v>
      </c>
      <c r="AR342" s="29" t="s">
        <v>1235</v>
      </c>
      <c r="AS342" s="29" t="s">
        <v>1236</v>
      </c>
    </row>
    <row r="343" spans="2:45" x14ac:dyDescent="0.2">
      <c r="B343" s="2" t="s">
        <v>3989</v>
      </c>
      <c r="J343" s="29"/>
      <c r="K343" s="29"/>
      <c r="L343" s="29"/>
      <c r="AQ343" s="2">
        <v>340</v>
      </c>
      <c r="AR343" s="29" t="s">
        <v>1237</v>
      </c>
      <c r="AS343" s="29" t="s">
        <v>1238</v>
      </c>
    </row>
    <row r="344" spans="2:45" x14ac:dyDescent="0.2">
      <c r="B344" s="2" t="s">
        <v>3990</v>
      </c>
      <c r="J344" s="29"/>
      <c r="K344" s="29"/>
      <c r="L344" s="29"/>
      <c r="AQ344" s="2">
        <v>341</v>
      </c>
      <c r="AR344" s="29" t="s">
        <v>1239</v>
      </c>
      <c r="AS344" s="29" t="s">
        <v>1240</v>
      </c>
    </row>
    <row r="345" spans="2:45" x14ac:dyDescent="0.2">
      <c r="B345" s="2" t="s">
        <v>3991</v>
      </c>
      <c r="J345" s="29"/>
      <c r="K345" s="29"/>
      <c r="L345" s="29"/>
      <c r="AQ345" s="2">
        <v>342</v>
      </c>
      <c r="AR345" s="29" t="s">
        <v>2817</v>
      </c>
      <c r="AS345" s="29" t="s">
        <v>1243</v>
      </c>
    </row>
    <row r="346" spans="2:45" x14ac:dyDescent="0.2">
      <c r="B346" s="2" t="s">
        <v>3992</v>
      </c>
      <c r="J346" s="29"/>
      <c r="K346" s="29"/>
      <c r="L346" s="29"/>
      <c r="AQ346" s="2">
        <v>343</v>
      </c>
      <c r="AR346" s="29" t="s">
        <v>1244</v>
      </c>
      <c r="AS346" s="29" t="s">
        <v>1245</v>
      </c>
    </row>
    <row r="347" spans="2:45" x14ac:dyDescent="0.2">
      <c r="B347" s="2" t="s">
        <v>3993</v>
      </c>
      <c r="J347" s="29"/>
      <c r="K347" s="29"/>
      <c r="L347" s="29"/>
      <c r="AQ347" s="2">
        <v>344</v>
      </c>
      <c r="AR347" s="29" t="s">
        <v>1246</v>
      </c>
      <c r="AS347" s="29" t="s">
        <v>1247</v>
      </c>
    </row>
    <row r="348" spans="2:45" x14ac:dyDescent="0.2">
      <c r="B348" s="2" t="s">
        <v>3994</v>
      </c>
      <c r="J348" s="29"/>
      <c r="K348" s="29"/>
      <c r="L348" s="29"/>
      <c r="AQ348" s="2">
        <v>345</v>
      </c>
      <c r="AR348" s="29" t="s">
        <v>1248</v>
      </c>
      <c r="AS348" s="29" t="s">
        <v>1249</v>
      </c>
    </row>
    <row r="349" spans="2:45" x14ac:dyDescent="0.2">
      <c r="B349" s="2" t="s">
        <v>3995</v>
      </c>
      <c r="J349" s="29"/>
      <c r="K349" s="29"/>
      <c r="L349" s="29"/>
      <c r="AQ349" s="2">
        <v>346</v>
      </c>
      <c r="AR349" s="29" t="s">
        <v>1250</v>
      </c>
      <c r="AS349" s="29" t="s">
        <v>1251</v>
      </c>
    </row>
    <row r="350" spans="2:45" x14ac:dyDescent="0.2">
      <c r="B350" s="2" t="s">
        <v>3996</v>
      </c>
      <c r="J350" s="29"/>
      <c r="K350" s="29"/>
      <c r="L350" s="29"/>
      <c r="AQ350" s="2">
        <v>347</v>
      </c>
      <c r="AR350" s="29" t="s">
        <v>1252</v>
      </c>
      <c r="AS350" s="29" t="s">
        <v>1253</v>
      </c>
    </row>
    <row r="351" spans="2:45" x14ac:dyDescent="0.2">
      <c r="B351" s="2" t="s">
        <v>3997</v>
      </c>
      <c r="J351" s="29"/>
      <c r="K351" s="29"/>
      <c r="L351" s="29"/>
      <c r="AQ351" s="2">
        <v>348</v>
      </c>
      <c r="AR351" s="29" t="s">
        <v>1254</v>
      </c>
      <c r="AS351" s="29" t="s">
        <v>1255</v>
      </c>
    </row>
    <row r="352" spans="2:45" x14ac:dyDescent="0.2">
      <c r="B352" s="2" t="s">
        <v>3998</v>
      </c>
      <c r="J352" s="29"/>
      <c r="K352" s="29"/>
      <c r="L352" s="29"/>
      <c r="AQ352" s="2">
        <v>349</v>
      </c>
      <c r="AR352" s="29" t="s">
        <v>1256</v>
      </c>
      <c r="AS352" s="29" t="s">
        <v>1257</v>
      </c>
    </row>
    <row r="353" spans="2:45" x14ac:dyDescent="0.2">
      <c r="B353" s="2" t="s">
        <v>3999</v>
      </c>
      <c r="J353" s="29"/>
      <c r="K353" s="29"/>
      <c r="L353" s="29"/>
      <c r="AQ353" s="2">
        <v>350</v>
      </c>
      <c r="AR353" s="29" t="s">
        <v>1258</v>
      </c>
      <c r="AS353" s="29" t="s">
        <v>1259</v>
      </c>
    </row>
    <row r="354" spans="2:45" x14ac:dyDescent="0.2">
      <c r="B354" s="2" t="s">
        <v>4000</v>
      </c>
      <c r="J354" s="29"/>
      <c r="K354" s="29"/>
      <c r="L354" s="29"/>
      <c r="AQ354" s="2">
        <v>351</v>
      </c>
      <c r="AR354" s="29" t="s">
        <v>1260</v>
      </c>
      <c r="AS354" s="29" t="s">
        <v>1261</v>
      </c>
    </row>
    <row r="355" spans="2:45" x14ac:dyDescent="0.2">
      <c r="B355" s="2" t="s">
        <v>4001</v>
      </c>
      <c r="J355" s="29"/>
      <c r="K355" s="29"/>
      <c r="L355" s="29"/>
      <c r="AQ355" s="2">
        <v>352</v>
      </c>
      <c r="AR355" s="29" t="s">
        <v>1262</v>
      </c>
      <c r="AS355" s="29" t="s">
        <v>1263</v>
      </c>
    </row>
    <row r="356" spans="2:45" x14ac:dyDescent="0.2">
      <c r="B356" s="2" t="s">
        <v>4002</v>
      </c>
      <c r="J356" s="29"/>
      <c r="K356" s="29"/>
      <c r="L356" s="29"/>
      <c r="AQ356" s="2">
        <v>353</v>
      </c>
      <c r="AR356" s="29" t="s">
        <v>1265</v>
      </c>
      <c r="AS356" s="29" t="s">
        <v>1266</v>
      </c>
    </row>
    <row r="357" spans="2:45" x14ac:dyDescent="0.2">
      <c r="B357" s="2" t="s">
        <v>4003</v>
      </c>
      <c r="J357" s="29"/>
      <c r="K357" s="29"/>
      <c r="L357" s="29"/>
      <c r="AQ357" s="2">
        <v>354</v>
      </c>
      <c r="AR357" s="29" t="s">
        <v>1267</v>
      </c>
      <c r="AS357" s="29" t="s">
        <v>1268</v>
      </c>
    </row>
    <row r="358" spans="2:45" x14ac:dyDescent="0.2">
      <c r="B358" s="2" t="s">
        <v>4004</v>
      </c>
      <c r="J358" s="29"/>
      <c r="K358" s="29"/>
      <c r="L358" s="29"/>
      <c r="AQ358" s="2">
        <v>355</v>
      </c>
      <c r="AR358" s="29" t="s">
        <v>1269</v>
      </c>
      <c r="AS358" s="29" t="s">
        <v>1269</v>
      </c>
    </row>
    <row r="359" spans="2:45" x14ac:dyDescent="0.2">
      <c r="B359" s="2" t="s">
        <v>4005</v>
      </c>
      <c r="J359" s="29"/>
      <c r="K359" s="29"/>
      <c r="L359" s="29"/>
      <c r="AQ359" s="2">
        <v>356</v>
      </c>
      <c r="AR359" s="29" t="s">
        <v>1270</v>
      </c>
      <c r="AS359" s="29" t="s">
        <v>1271</v>
      </c>
    </row>
    <row r="360" spans="2:45" x14ac:dyDescent="0.2">
      <c r="B360" s="2" t="s">
        <v>4006</v>
      </c>
      <c r="J360" s="29"/>
      <c r="K360" s="29"/>
      <c r="L360" s="29"/>
      <c r="AQ360" s="2">
        <v>357</v>
      </c>
      <c r="AR360" s="29" t="s">
        <v>1272</v>
      </c>
      <c r="AS360" s="29" t="s">
        <v>1273</v>
      </c>
    </row>
    <row r="361" spans="2:45" x14ac:dyDescent="0.2">
      <c r="B361" s="2" t="s">
        <v>4007</v>
      </c>
      <c r="J361" s="29"/>
      <c r="K361" s="29"/>
      <c r="L361" s="29"/>
      <c r="AQ361" s="2">
        <v>358</v>
      </c>
      <c r="AR361" s="29" t="s">
        <v>1274</v>
      </c>
      <c r="AS361" s="29" t="s">
        <v>1275</v>
      </c>
    </row>
    <row r="362" spans="2:45" x14ac:dyDescent="0.2">
      <c r="B362" s="2" t="s">
        <v>4008</v>
      </c>
      <c r="J362" s="29"/>
      <c r="K362" s="29"/>
      <c r="L362" s="29"/>
      <c r="AQ362" s="2">
        <v>359</v>
      </c>
      <c r="AR362" s="29" t="s">
        <v>1277</v>
      </c>
      <c r="AS362" s="29" t="s">
        <v>1278</v>
      </c>
    </row>
    <row r="363" spans="2:45" x14ac:dyDescent="0.2">
      <c r="B363" s="2" t="s">
        <v>4009</v>
      </c>
      <c r="J363" s="29"/>
      <c r="K363" s="29"/>
      <c r="L363" s="29"/>
      <c r="AQ363" s="2">
        <v>360</v>
      </c>
      <c r="AR363" s="29" t="s">
        <v>1279</v>
      </c>
      <c r="AS363" s="29" t="s">
        <v>1280</v>
      </c>
    </row>
    <row r="364" spans="2:45" x14ac:dyDescent="0.2">
      <c r="B364" s="2" t="s">
        <v>4010</v>
      </c>
      <c r="J364" s="29"/>
      <c r="K364" s="29"/>
      <c r="L364" s="29"/>
      <c r="AQ364" s="2">
        <v>361</v>
      </c>
      <c r="AR364" s="29" t="s">
        <v>1281</v>
      </c>
      <c r="AS364" s="29" t="s">
        <v>1282</v>
      </c>
    </row>
    <row r="365" spans="2:45" x14ac:dyDescent="0.2">
      <c r="B365" s="2" t="s">
        <v>4011</v>
      </c>
      <c r="J365" s="29"/>
      <c r="K365" s="29"/>
      <c r="L365" s="29"/>
      <c r="AQ365" s="2">
        <v>362</v>
      </c>
      <c r="AR365" s="29" t="s">
        <v>1283</v>
      </c>
      <c r="AS365" s="29" t="s">
        <v>1284</v>
      </c>
    </row>
    <row r="366" spans="2:45" x14ac:dyDescent="0.2">
      <c r="B366" s="2" t="s">
        <v>4012</v>
      </c>
      <c r="J366" s="29"/>
      <c r="K366" s="29"/>
      <c r="L366" s="29"/>
      <c r="AQ366" s="2">
        <v>363</v>
      </c>
      <c r="AR366" s="29" t="s">
        <v>1285</v>
      </c>
      <c r="AS366" s="29" t="s">
        <v>1286</v>
      </c>
    </row>
    <row r="367" spans="2:45" x14ac:dyDescent="0.2">
      <c r="B367" s="2" t="s">
        <v>4013</v>
      </c>
      <c r="J367" s="29"/>
      <c r="K367" s="29"/>
      <c r="L367" s="29"/>
      <c r="AQ367" s="2">
        <v>364</v>
      </c>
      <c r="AR367" s="29" t="s">
        <v>1294</v>
      </c>
      <c r="AS367" s="29" t="s">
        <v>1295</v>
      </c>
    </row>
    <row r="368" spans="2:45" x14ac:dyDescent="0.2">
      <c r="B368" s="2" t="s">
        <v>4014</v>
      </c>
      <c r="J368" s="29"/>
      <c r="K368" s="29"/>
      <c r="L368" s="29"/>
      <c r="AQ368" s="2">
        <v>365</v>
      </c>
      <c r="AR368" s="29" t="s">
        <v>1296</v>
      </c>
      <c r="AS368" s="29" t="s">
        <v>1297</v>
      </c>
    </row>
    <row r="369" spans="2:45" x14ac:dyDescent="0.2">
      <c r="B369" s="2" t="s">
        <v>4015</v>
      </c>
      <c r="J369" s="29"/>
      <c r="K369" s="29"/>
      <c r="L369" s="29"/>
      <c r="AQ369" s="2">
        <v>366</v>
      </c>
      <c r="AR369" s="29" t="s">
        <v>1298</v>
      </c>
      <c r="AS369" s="29" t="s">
        <v>1299</v>
      </c>
    </row>
    <row r="370" spans="2:45" x14ac:dyDescent="0.2">
      <c r="B370" s="2" t="s">
        <v>4016</v>
      </c>
      <c r="J370" s="29"/>
      <c r="K370" s="29"/>
      <c r="L370" s="29"/>
      <c r="AQ370" s="2">
        <v>367</v>
      </c>
      <c r="AR370" s="29" t="s">
        <v>1300</v>
      </c>
      <c r="AS370" s="29" t="s">
        <v>1301</v>
      </c>
    </row>
    <row r="371" spans="2:45" x14ac:dyDescent="0.2">
      <c r="B371" s="2" t="s">
        <v>4017</v>
      </c>
      <c r="J371" s="29"/>
      <c r="K371" s="29"/>
      <c r="L371" s="29"/>
      <c r="AQ371" s="2">
        <v>368</v>
      </c>
      <c r="AR371" s="29" t="s">
        <v>1302</v>
      </c>
      <c r="AS371" s="29" t="s">
        <v>1303</v>
      </c>
    </row>
    <row r="372" spans="2:45" x14ac:dyDescent="0.2">
      <c r="B372" s="2" t="s">
        <v>4018</v>
      </c>
      <c r="J372" s="29"/>
      <c r="K372" s="29"/>
      <c r="L372" s="29"/>
      <c r="AR372" s="2" t="s">
        <v>1304</v>
      </c>
      <c r="AS372" s="2" t="s">
        <v>1305</v>
      </c>
    </row>
    <row r="373" spans="2:45" x14ac:dyDescent="0.2">
      <c r="B373" s="2" t="s">
        <v>4019</v>
      </c>
      <c r="J373" s="29"/>
      <c r="K373" s="29"/>
      <c r="L373" s="29"/>
      <c r="AR373" s="2" t="s">
        <v>1306</v>
      </c>
      <c r="AS373" s="2" t="s">
        <v>1307</v>
      </c>
    </row>
    <row r="374" spans="2:45" x14ac:dyDescent="0.2">
      <c r="B374" s="2" t="s">
        <v>4020</v>
      </c>
      <c r="J374" s="29"/>
      <c r="K374" s="29"/>
      <c r="L374" s="29"/>
      <c r="AR374" s="2" t="s">
        <v>1308</v>
      </c>
      <c r="AS374" s="2" t="s">
        <v>1309</v>
      </c>
    </row>
    <row r="375" spans="2:45" x14ac:dyDescent="0.2">
      <c r="B375" s="2" t="s">
        <v>4021</v>
      </c>
      <c r="J375" s="29"/>
      <c r="K375" s="29"/>
      <c r="L375" s="29"/>
      <c r="AR375" s="2" t="s">
        <v>1310</v>
      </c>
      <c r="AS375" s="2" t="s">
        <v>1311</v>
      </c>
    </row>
    <row r="376" spans="2:45" x14ac:dyDescent="0.2">
      <c r="B376" s="2" t="s">
        <v>4022</v>
      </c>
      <c r="J376" s="29"/>
      <c r="K376" s="29"/>
      <c r="L376" s="29"/>
      <c r="AR376" s="2" t="s">
        <v>1312</v>
      </c>
      <c r="AS376" s="2" t="s">
        <v>1313</v>
      </c>
    </row>
    <row r="377" spans="2:45" x14ac:dyDescent="0.2">
      <c r="B377" s="2" t="s">
        <v>4023</v>
      </c>
      <c r="J377" s="29"/>
      <c r="K377" s="29"/>
      <c r="L377" s="29"/>
      <c r="AR377" s="2" t="s">
        <v>1314</v>
      </c>
      <c r="AS377" s="2" t="s">
        <v>1315</v>
      </c>
    </row>
    <row r="378" spans="2:45" x14ac:dyDescent="0.2">
      <c r="B378" s="2" t="s">
        <v>4024</v>
      </c>
      <c r="J378" s="29"/>
      <c r="K378" s="29"/>
      <c r="L378" s="29"/>
      <c r="AR378" s="2" t="s">
        <v>1316</v>
      </c>
      <c r="AS378" s="2" t="s">
        <v>1317</v>
      </c>
    </row>
    <row r="379" spans="2:45" x14ac:dyDescent="0.2">
      <c r="B379" s="2" t="s">
        <v>4025</v>
      </c>
      <c r="J379" s="29"/>
      <c r="K379" s="29"/>
      <c r="L379" s="29"/>
      <c r="AR379" s="2" t="s">
        <v>1318</v>
      </c>
      <c r="AS379" s="2" t="s">
        <v>1319</v>
      </c>
    </row>
    <row r="380" spans="2:45" x14ac:dyDescent="0.2">
      <c r="B380" s="2" t="s">
        <v>4026</v>
      </c>
      <c r="J380" s="29"/>
      <c r="K380" s="29"/>
      <c r="L380" s="29"/>
      <c r="AR380" s="2" t="s">
        <v>1320</v>
      </c>
      <c r="AS380" s="2" t="s">
        <v>1321</v>
      </c>
    </row>
    <row r="381" spans="2:45" x14ac:dyDescent="0.2">
      <c r="B381" s="2" t="s">
        <v>4027</v>
      </c>
      <c r="J381" s="29"/>
      <c r="K381" s="29"/>
      <c r="L381" s="29"/>
      <c r="AR381" s="2" t="s">
        <v>1322</v>
      </c>
      <c r="AS381" s="2" t="s">
        <v>1323</v>
      </c>
    </row>
    <row r="382" spans="2:45" x14ac:dyDescent="0.2">
      <c r="B382" s="2" t="s">
        <v>4028</v>
      </c>
      <c r="J382" s="29"/>
      <c r="K382" s="29"/>
      <c r="L382" s="29"/>
      <c r="AR382" s="2" t="s">
        <v>1324</v>
      </c>
      <c r="AS382" s="2" t="s">
        <v>1325</v>
      </c>
    </row>
    <row r="383" spans="2:45" x14ac:dyDescent="0.2">
      <c r="B383" s="2" t="s">
        <v>4029</v>
      </c>
      <c r="J383" s="29"/>
      <c r="K383" s="29"/>
      <c r="L383" s="29"/>
      <c r="AR383" s="2" t="s">
        <v>1326</v>
      </c>
      <c r="AS383" s="2" t="s">
        <v>1327</v>
      </c>
    </row>
    <row r="384" spans="2:45" x14ac:dyDescent="0.2">
      <c r="B384" s="2" t="s">
        <v>4030</v>
      </c>
      <c r="J384" s="29"/>
      <c r="K384" s="29"/>
      <c r="L384" s="29"/>
      <c r="AR384" s="2" t="s">
        <v>1333</v>
      </c>
      <c r="AS384" s="2" t="s">
        <v>1334</v>
      </c>
    </row>
    <row r="385" spans="2:45" x14ac:dyDescent="0.2">
      <c r="B385" s="2" t="s">
        <v>4031</v>
      </c>
      <c r="J385" s="29"/>
      <c r="K385" s="29"/>
      <c r="L385" s="29"/>
      <c r="AR385" s="2" t="s">
        <v>1335</v>
      </c>
      <c r="AS385" s="2" t="s">
        <v>1336</v>
      </c>
    </row>
    <row r="386" spans="2:45" x14ac:dyDescent="0.2">
      <c r="B386" s="2" t="s">
        <v>4032</v>
      </c>
      <c r="J386" s="29"/>
      <c r="K386" s="29"/>
      <c r="L386" s="29"/>
      <c r="AR386" s="2" t="s">
        <v>1337</v>
      </c>
      <c r="AS386" s="2" t="s">
        <v>1338</v>
      </c>
    </row>
    <row r="387" spans="2:45" x14ac:dyDescent="0.2">
      <c r="B387" s="2" t="s">
        <v>4033</v>
      </c>
      <c r="J387" s="29"/>
      <c r="K387" s="29"/>
      <c r="L387" s="29"/>
      <c r="AR387" s="2" t="s">
        <v>1339</v>
      </c>
      <c r="AS387" s="2" t="s">
        <v>1340</v>
      </c>
    </row>
    <row r="388" spans="2:45" x14ac:dyDescent="0.2">
      <c r="B388" s="2" t="s">
        <v>4034</v>
      </c>
      <c r="J388" s="29"/>
      <c r="K388" s="29"/>
      <c r="L388" s="29"/>
      <c r="AR388" s="2" t="s">
        <v>1341</v>
      </c>
      <c r="AS388" s="2" t="s">
        <v>1342</v>
      </c>
    </row>
    <row r="389" spans="2:45" x14ac:dyDescent="0.2">
      <c r="B389" s="2" t="s">
        <v>4035</v>
      </c>
      <c r="J389" s="29"/>
      <c r="K389" s="29"/>
      <c r="L389" s="29"/>
      <c r="AR389" s="2" t="s">
        <v>2787</v>
      </c>
      <c r="AS389" s="2" t="s">
        <v>2788</v>
      </c>
    </row>
    <row r="390" spans="2:45" x14ac:dyDescent="0.2">
      <c r="B390" s="2" t="s">
        <v>4036</v>
      </c>
      <c r="J390" s="29"/>
      <c r="K390" s="29"/>
      <c r="L390" s="29"/>
      <c r="AR390" s="2" t="s">
        <v>2789</v>
      </c>
      <c r="AS390" s="2" t="s">
        <v>2784</v>
      </c>
    </row>
    <row r="391" spans="2:45" x14ac:dyDescent="0.2">
      <c r="B391" s="2" t="s">
        <v>4037</v>
      </c>
      <c r="J391" s="29"/>
      <c r="K391" s="29"/>
      <c r="L391" s="29"/>
      <c r="AR391" s="2" t="s">
        <v>1350</v>
      </c>
      <c r="AS391" s="2" t="s">
        <v>1351</v>
      </c>
    </row>
    <row r="392" spans="2:45" x14ac:dyDescent="0.2">
      <c r="B392" s="2" t="s">
        <v>4038</v>
      </c>
      <c r="J392" s="29"/>
      <c r="K392" s="29"/>
      <c r="L392" s="29"/>
      <c r="AR392" s="2" t="s">
        <v>1352</v>
      </c>
      <c r="AS392" s="2" t="s">
        <v>1352</v>
      </c>
    </row>
    <row r="393" spans="2:45" x14ac:dyDescent="0.2">
      <c r="B393" s="2" t="s">
        <v>4039</v>
      </c>
      <c r="J393" s="29"/>
      <c r="K393" s="29"/>
      <c r="L393" s="29"/>
      <c r="AR393" s="2" t="s">
        <v>1353</v>
      </c>
      <c r="AS393" s="2" t="s">
        <v>1354</v>
      </c>
    </row>
    <row r="394" spans="2:45" x14ac:dyDescent="0.2">
      <c r="B394" s="2" t="s">
        <v>4040</v>
      </c>
      <c r="J394" s="29"/>
      <c r="K394" s="29"/>
      <c r="L394" s="29"/>
      <c r="AR394" s="2" t="s">
        <v>2790</v>
      </c>
      <c r="AS394" s="2" t="s">
        <v>2791</v>
      </c>
    </row>
    <row r="395" spans="2:45" x14ac:dyDescent="0.2">
      <c r="B395" s="2" t="s">
        <v>4041</v>
      </c>
      <c r="J395" s="29"/>
      <c r="K395" s="29"/>
      <c r="L395" s="29"/>
      <c r="AR395" s="2" t="s">
        <v>1355</v>
      </c>
      <c r="AS395" s="2" t="s">
        <v>1356</v>
      </c>
    </row>
    <row r="396" spans="2:45" x14ac:dyDescent="0.2">
      <c r="B396" s="2" t="s">
        <v>4042</v>
      </c>
      <c r="J396" s="29"/>
      <c r="K396" s="29"/>
      <c r="L396" s="29"/>
      <c r="AR396" s="2" t="s">
        <v>1357</v>
      </c>
      <c r="AS396" s="2" t="s">
        <v>1358</v>
      </c>
    </row>
    <row r="397" spans="2:45" x14ac:dyDescent="0.2">
      <c r="B397" s="2" t="s">
        <v>4043</v>
      </c>
      <c r="J397" s="29"/>
      <c r="K397" s="29"/>
      <c r="L397" s="29"/>
      <c r="AR397" s="2" t="s">
        <v>1359</v>
      </c>
      <c r="AS397" s="2" t="s">
        <v>1360</v>
      </c>
    </row>
    <row r="398" spans="2:45" x14ac:dyDescent="0.2">
      <c r="B398" s="2" t="s">
        <v>4044</v>
      </c>
      <c r="J398" s="29"/>
      <c r="K398" s="29"/>
      <c r="L398" s="29"/>
      <c r="AR398" s="2" t="s">
        <v>1361</v>
      </c>
      <c r="AS398" s="2" t="s">
        <v>1362</v>
      </c>
    </row>
    <row r="399" spans="2:45" x14ac:dyDescent="0.2">
      <c r="B399" s="2" t="s">
        <v>4045</v>
      </c>
      <c r="J399" s="29"/>
      <c r="K399" s="29"/>
      <c r="L399" s="29"/>
      <c r="AR399" s="2" t="s">
        <v>1363</v>
      </c>
      <c r="AS399" s="2" t="s">
        <v>1364</v>
      </c>
    </row>
    <row r="400" spans="2:45" x14ac:dyDescent="0.2">
      <c r="B400" s="2" t="s">
        <v>4046</v>
      </c>
      <c r="J400" s="29"/>
      <c r="K400" s="29"/>
      <c r="L400" s="29"/>
      <c r="AR400" s="2" t="s">
        <v>1365</v>
      </c>
      <c r="AS400" s="2" t="s">
        <v>872</v>
      </c>
    </row>
    <row r="401" spans="2:45" x14ac:dyDescent="0.2">
      <c r="B401" s="2" t="s">
        <v>4047</v>
      </c>
      <c r="J401" s="29"/>
      <c r="K401" s="29"/>
      <c r="L401" s="29"/>
      <c r="AR401" s="2" t="s">
        <v>1366</v>
      </c>
      <c r="AS401" s="2" t="s">
        <v>1367</v>
      </c>
    </row>
    <row r="402" spans="2:45" x14ac:dyDescent="0.2">
      <c r="B402" s="2" t="s">
        <v>4048</v>
      </c>
      <c r="J402" s="29"/>
      <c r="K402" s="29"/>
      <c r="L402" s="29"/>
      <c r="AR402" s="2" t="s">
        <v>1368</v>
      </c>
      <c r="AS402" s="2" t="s">
        <v>1369</v>
      </c>
    </row>
    <row r="403" spans="2:45" x14ac:dyDescent="0.2">
      <c r="B403" s="2" t="s">
        <v>4049</v>
      </c>
      <c r="J403" s="29"/>
      <c r="K403" s="29"/>
      <c r="L403" s="29"/>
      <c r="AR403" s="2" t="s">
        <v>3047</v>
      </c>
      <c r="AS403" s="2" t="s">
        <v>3048</v>
      </c>
    </row>
    <row r="404" spans="2:45" x14ac:dyDescent="0.2">
      <c r="B404" s="2" t="s">
        <v>4050</v>
      </c>
      <c r="J404" s="29"/>
      <c r="K404" s="29"/>
      <c r="L404" s="29"/>
      <c r="AR404" s="2" t="s">
        <v>1370</v>
      </c>
      <c r="AS404" s="2" t="s">
        <v>1371</v>
      </c>
    </row>
    <row r="405" spans="2:45" x14ac:dyDescent="0.2">
      <c r="B405" s="2" t="s">
        <v>4051</v>
      </c>
      <c r="J405" s="29"/>
      <c r="K405" s="29"/>
      <c r="L405" s="29"/>
      <c r="AR405" s="2" t="s">
        <v>1372</v>
      </c>
      <c r="AS405" s="2" t="s">
        <v>1373</v>
      </c>
    </row>
    <row r="406" spans="2:45" x14ac:dyDescent="0.2">
      <c r="B406" s="2" t="s">
        <v>4052</v>
      </c>
      <c r="J406" s="29"/>
      <c r="K406" s="29"/>
      <c r="L406" s="29"/>
      <c r="AR406" s="2" t="s">
        <v>1374</v>
      </c>
      <c r="AS406" s="2" t="s">
        <v>1375</v>
      </c>
    </row>
    <row r="407" spans="2:45" x14ac:dyDescent="0.2">
      <c r="B407" s="2" t="s">
        <v>4053</v>
      </c>
      <c r="J407" s="29"/>
      <c r="K407" s="29"/>
      <c r="L407" s="29"/>
      <c r="AR407" s="2" t="s">
        <v>1376</v>
      </c>
      <c r="AS407" s="2" t="s">
        <v>1377</v>
      </c>
    </row>
    <row r="408" spans="2:45" x14ac:dyDescent="0.2">
      <c r="B408" s="2" t="s">
        <v>4054</v>
      </c>
      <c r="J408" s="29"/>
      <c r="K408" s="29"/>
      <c r="L408" s="29"/>
      <c r="AR408" s="2" t="s">
        <v>1378</v>
      </c>
      <c r="AS408" s="2" t="s">
        <v>1379</v>
      </c>
    </row>
    <row r="409" spans="2:45" x14ac:dyDescent="0.2">
      <c r="B409" s="2" t="s">
        <v>4055</v>
      </c>
      <c r="J409" s="29"/>
      <c r="K409" s="29"/>
      <c r="L409" s="29"/>
      <c r="AR409" s="2" t="s">
        <v>1380</v>
      </c>
      <c r="AS409" s="2" t="s">
        <v>1381</v>
      </c>
    </row>
    <row r="410" spans="2:45" x14ac:dyDescent="0.2">
      <c r="B410" s="2" t="s">
        <v>4056</v>
      </c>
      <c r="J410" s="29"/>
      <c r="K410" s="29"/>
      <c r="L410" s="29"/>
      <c r="AR410" s="2" t="s">
        <v>1382</v>
      </c>
      <c r="AS410" s="2" t="s">
        <v>1383</v>
      </c>
    </row>
    <row r="411" spans="2:45" x14ac:dyDescent="0.2">
      <c r="B411" s="2" t="s">
        <v>4057</v>
      </c>
      <c r="J411" s="29"/>
      <c r="K411" s="29"/>
      <c r="L411" s="29"/>
      <c r="AR411" s="2" t="s">
        <v>1384</v>
      </c>
      <c r="AS411" s="2" t="s">
        <v>1385</v>
      </c>
    </row>
    <row r="412" spans="2:45" x14ac:dyDescent="0.2">
      <c r="B412" s="2" t="s">
        <v>4058</v>
      </c>
      <c r="J412" s="29"/>
      <c r="K412" s="29"/>
      <c r="L412" s="29"/>
      <c r="AR412" s="2" t="s">
        <v>1386</v>
      </c>
      <c r="AS412" s="2" t="s">
        <v>1385</v>
      </c>
    </row>
    <row r="413" spans="2:45" x14ac:dyDescent="0.2">
      <c r="B413" s="2" t="s">
        <v>4059</v>
      </c>
      <c r="J413" s="29"/>
      <c r="K413" s="29"/>
      <c r="L413" s="29"/>
      <c r="AR413" s="2" t="s">
        <v>1387</v>
      </c>
      <c r="AS413" s="2" t="s">
        <v>1388</v>
      </c>
    </row>
    <row r="414" spans="2:45" x14ac:dyDescent="0.2">
      <c r="B414" s="2" t="s">
        <v>4060</v>
      </c>
      <c r="J414" s="29"/>
      <c r="K414" s="29"/>
      <c r="L414" s="29"/>
      <c r="AR414" s="2" t="s">
        <v>1389</v>
      </c>
      <c r="AS414" s="2" t="s">
        <v>1388</v>
      </c>
    </row>
    <row r="415" spans="2:45" x14ac:dyDescent="0.2">
      <c r="B415" s="2" t="s">
        <v>4061</v>
      </c>
      <c r="J415" s="29"/>
      <c r="K415" s="29"/>
      <c r="L415" s="29"/>
      <c r="AR415" s="2" t="s">
        <v>1390</v>
      </c>
      <c r="AS415" s="2" t="s">
        <v>1391</v>
      </c>
    </row>
    <row r="416" spans="2:45" x14ac:dyDescent="0.2">
      <c r="B416" s="2" t="s">
        <v>4062</v>
      </c>
      <c r="J416" s="29"/>
      <c r="K416" s="29"/>
      <c r="L416" s="29"/>
      <c r="AR416" s="2" t="s">
        <v>1392</v>
      </c>
      <c r="AS416" s="2" t="s">
        <v>1393</v>
      </c>
    </row>
    <row r="417" spans="2:45" x14ac:dyDescent="0.2">
      <c r="B417" s="2" t="s">
        <v>4063</v>
      </c>
      <c r="J417" s="29"/>
      <c r="K417" s="29"/>
      <c r="L417" s="29"/>
      <c r="AR417" s="2" t="s">
        <v>1394</v>
      </c>
      <c r="AS417" s="2" t="s">
        <v>1395</v>
      </c>
    </row>
    <row r="418" spans="2:45" x14ac:dyDescent="0.2">
      <c r="B418" s="2" t="s">
        <v>4064</v>
      </c>
      <c r="J418" s="29"/>
      <c r="K418" s="29"/>
      <c r="L418" s="29"/>
      <c r="AR418" s="2" t="s">
        <v>1396</v>
      </c>
      <c r="AS418" s="2" t="s">
        <v>1397</v>
      </c>
    </row>
    <row r="419" spans="2:45" x14ac:dyDescent="0.2">
      <c r="B419" s="2" t="s">
        <v>4065</v>
      </c>
      <c r="J419" s="29"/>
      <c r="K419" s="29"/>
      <c r="L419" s="29"/>
      <c r="AR419" s="2" t="s">
        <v>1398</v>
      </c>
      <c r="AS419" s="2" t="s">
        <v>1399</v>
      </c>
    </row>
    <row r="420" spans="2:45" x14ac:dyDescent="0.2">
      <c r="B420" s="2" t="s">
        <v>4066</v>
      </c>
      <c r="J420" s="29"/>
      <c r="K420" s="29"/>
      <c r="L420" s="29"/>
      <c r="AR420" s="2" t="s">
        <v>1400</v>
      </c>
      <c r="AS420" s="2" t="s">
        <v>1401</v>
      </c>
    </row>
    <row r="421" spans="2:45" x14ac:dyDescent="0.2">
      <c r="B421" s="2" t="s">
        <v>4067</v>
      </c>
      <c r="J421" s="29"/>
      <c r="K421" s="29"/>
      <c r="L421" s="29"/>
      <c r="AR421" s="2" t="s">
        <v>1402</v>
      </c>
      <c r="AS421" s="2" t="s">
        <v>1403</v>
      </c>
    </row>
    <row r="422" spans="2:45" x14ac:dyDescent="0.2">
      <c r="B422" s="2" t="s">
        <v>4068</v>
      </c>
      <c r="J422" s="29"/>
      <c r="K422" s="29"/>
      <c r="L422" s="29"/>
      <c r="AR422" s="2" t="s">
        <v>1404</v>
      </c>
      <c r="AS422" s="2" t="s">
        <v>1405</v>
      </c>
    </row>
    <row r="423" spans="2:45" x14ac:dyDescent="0.2">
      <c r="B423" s="2" t="s">
        <v>4069</v>
      </c>
      <c r="J423" s="29"/>
      <c r="K423" s="29"/>
      <c r="L423" s="29"/>
      <c r="AR423" s="2" t="s">
        <v>1406</v>
      </c>
      <c r="AS423" s="2" t="s">
        <v>1407</v>
      </c>
    </row>
    <row r="424" spans="2:45" x14ac:dyDescent="0.2">
      <c r="B424" s="2" t="s">
        <v>4070</v>
      </c>
      <c r="J424" s="29"/>
      <c r="K424" s="29"/>
      <c r="L424" s="29"/>
      <c r="AR424" s="2" t="s">
        <v>1408</v>
      </c>
      <c r="AS424" s="2" t="s">
        <v>1409</v>
      </c>
    </row>
    <row r="425" spans="2:45" x14ac:dyDescent="0.2">
      <c r="B425" s="2" t="s">
        <v>4071</v>
      </c>
      <c r="J425" s="29"/>
      <c r="K425" s="29"/>
      <c r="L425" s="29"/>
      <c r="AR425" s="2" t="s">
        <v>1410</v>
      </c>
      <c r="AS425" s="2" t="s">
        <v>1411</v>
      </c>
    </row>
    <row r="426" spans="2:45" x14ac:dyDescent="0.2">
      <c r="B426" s="2" t="s">
        <v>4072</v>
      </c>
      <c r="J426" s="29"/>
      <c r="K426" s="29"/>
      <c r="L426" s="29"/>
      <c r="AR426" s="2" t="s">
        <v>1412</v>
      </c>
      <c r="AS426" s="2" t="s">
        <v>1413</v>
      </c>
    </row>
    <row r="427" spans="2:45" x14ac:dyDescent="0.2">
      <c r="B427" s="2" t="s">
        <v>4073</v>
      </c>
      <c r="J427" s="29"/>
      <c r="K427" s="29"/>
      <c r="L427" s="29"/>
      <c r="AR427" s="2" t="s">
        <v>1414</v>
      </c>
      <c r="AS427" s="2" t="s">
        <v>1415</v>
      </c>
    </row>
    <row r="428" spans="2:45" x14ac:dyDescent="0.2">
      <c r="B428" s="2" t="s">
        <v>4074</v>
      </c>
      <c r="J428" s="29"/>
      <c r="K428" s="29"/>
      <c r="L428" s="29"/>
      <c r="AR428" s="2" t="s">
        <v>1416</v>
      </c>
      <c r="AS428" s="2" t="s">
        <v>1417</v>
      </c>
    </row>
    <row r="429" spans="2:45" x14ac:dyDescent="0.2">
      <c r="B429" s="2" t="s">
        <v>4075</v>
      </c>
      <c r="J429" s="29"/>
      <c r="K429" s="29"/>
      <c r="L429" s="29"/>
      <c r="AR429" s="2" t="s">
        <v>1418</v>
      </c>
      <c r="AS429" s="2" t="s">
        <v>1419</v>
      </c>
    </row>
    <row r="430" spans="2:45" x14ac:dyDescent="0.2">
      <c r="B430" s="2" t="s">
        <v>4076</v>
      </c>
      <c r="J430" s="29"/>
      <c r="K430" s="29"/>
      <c r="L430" s="29"/>
      <c r="AR430" s="2" t="s">
        <v>1420</v>
      </c>
      <c r="AS430" s="2" t="s">
        <v>1421</v>
      </c>
    </row>
    <row r="431" spans="2:45" x14ac:dyDescent="0.2">
      <c r="B431" s="2" t="s">
        <v>4077</v>
      </c>
      <c r="J431" s="29"/>
      <c r="K431" s="29"/>
      <c r="L431" s="29"/>
      <c r="AR431" s="2" t="s">
        <v>1422</v>
      </c>
      <c r="AS431" s="2" t="s">
        <v>1423</v>
      </c>
    </row>
    <row r="432" spans="2:45" x14ac:dyDescent="0.2">
      <c r="B432" s="2" t="s">
        <v>4078</v>
      </c>
      <c r="J432" s="29"/>
      <c r="K432" s="29"/>
      <c r="L432" s="29"/>
      <c r="AR432" s="2" t="s">
        <v>1424</v>
      </c>
      <c r="AS432" s="2" t="s">
        <v>1425</v>
      </c>
    </row>
    <row r="433" spans="2:45" x14ac:dyDescent="0.2">
      <c r="B433" s="2" t="s">
        <v>4079</v>
      </c>
      <c r="J433" s="29"/>
      <c r="K433" s="29"/>
      <c r="L433" s="29"/>
      <c r="AR433" s="2" t="s">
        <v>1426</v>
      </c>
      <c r="AS433" s="2" t="s">
        <v>1427</v>
      </c>
    </row>
    <row r="434" spans="2:45" x14ac:dyDescent="0.2">
      <c r="B434" s="2" t="s">
        <v>4080</v>
      </c>
      <c r="J434" s="29"/>
      <c r="K434" s="29"/>
      <c r="L434" s="29"/>
      <c r="AR434" s="2" t="s">
        <v>1428</v>
      </c>
      <c r="AS434" s="2" t="s">
        <v>1429</v>
      </c>
    </row>
    <row r="435" spans="2:45" x14ac:dyDescent="0.2">
      <c r="B435" s="2" t="s">
        <v>4081</v>
      </c>
      <c r="J435" s="29"/>
      <c r="K435" s="29"/>
      <c r="L435" s="29"/>
      <c r="AR435" s="2" t="s">
        <v>1430</v>
      </c>
      <c r="AS435" s="2" t="s">
        <v>1431</v>
      </c>
    </row>
    <row r="436" spans="2:45" x14ac:dyDescent="0.2">
      <c r="B436" s="2" t="s">
        <v>4082</v>
      </c>
      <c r="J436" s="29"/>
      <c r="K436" s="29"/>
      <c r="L436" s="29"/>
      <c r="AR436" s="2" t="s">
        <v>1432</v>
      </c>
      <c r="AS436" s="2" t="s">
        <v>1433</v>
      </c>
    </row>
    <row r="437" spans="2:45" x14ac:dyDescent="0.2">
      <c r="B437" s="2" t="s">
        <v>4083</v>
      </c>
      <c r="J437" s="29"/>
      <c r="K437" s="29"/>
      <c r="L437" s="29"/>
      <c r="AR437" s="2" t="s">
        <v>1646</v>
      </c>
      <c r="AS437" s="2" t="s">
        <v>1647</v>
      </c>
    </row>
    <row r="438" spans="2:45" x14ac:dyDescent="0.2">
      <c r="B438" s="2" t="s">
        <v>4084</v>
      </c>
      <c r="J438" s="29"/>
      <c r="K438" s="29"/>
      <c r="L438" s="29"/>
      <c r="AR438" s="2" t="s">
        <v>1434</v>
      </c>
      <c r="AS438" s="2" t="s">
        <v>1435</v>
      </c>
    </row>
    <row r="439" spans="2:45" x14ac:dyDescent="0.2">
      <c r="B439" s="2" t="s">
        <v>4085</v>
      </c>
      <c r="J439" s="29"/>
      <c r="K439" s="29"/>
      <c r="L439" s="29"/>
      <c r="AR439" s="2" t="s">
        <v>1436</v>
      </c>
      <c r="AS439" s="2" t="s">
        <v>1437</v>
      </c>
    </row>
    <row r="440" spans="2:45" x14ac:dyDescent="0.2">
      <c r="B440" s="2" t="s">
        <v>4086</v>
      </c>
      <c r="J440" s="29"/>
      <c r="K440" s="29"/>
      <c r="L440" s="29"/>
      <c r="AR440" s="2" t="s">
        <v>1648</v>
      </c>
      <c r="AS440" s="2" t="s">
        <v>1649</v>
      </c>
    </row>
    <row r="441" spans="2:45" x14ac:dyDescent="0.2">
      <c r="B441" s="2" t="s">
        <v>4087</v>
      </c>
      <c r="J441" s="29"/>
      <c r="K441" s="29"/>
      <c r="L441" s="29"/>
      <c r="AR441" s="2" t="s">
        <v>1650</v>
      </c>
      <c r="AS441" s="2" t="s">
        <v>1651</v>
      </c>
    </row>
    <row r="442" spans="2:45" x14ac:dyDescent="0.2">
      <c r="B442" s="2" t="s">
        <v>4088</v>
      </c>
      <c r="J442" s="29"/>
      <c r="K442" s="29"/>
      <c r="L442" s="29"/>
      <c r="AR442" s="2" t="s">
        <v>1438</v>
      </c>
      <c r="AS442" s="2" t="s">
        <v>1439</v>
      </c>
    </row>
    <row r="443" spans="2:45" x14ac:dyDescent="0.2">
      <c r="B443" s="2" t="s">
        <v>4089</v>
      </c>
      <c r="J443" s="29"/>
      <c r="K443" s="29"/>
      <c r="L443" s="29"/>
      <c r="AR443" s="2" t="s">
        <v>1440</v>
      </c>
      <c r="AS443" s="2" t="s">
        <v>1439</v>
      </c>
    </row>
    <row r="444" spans="2:45" x14ac:dyDescent="0.2">
      <c r="B444" s="2" t="s">
        <v>4090</v>
      </c>
      <c r="J444" s="29"/>
      <c r="K444" s="29"/>
      <c r="L444" s="29"/>
      <c r="AR444" s="2" t="s">
        <v>1441</v>
      </c>
      <c r="AS444" s="2" t="s">
        <v>1442</v>
      </c>
    </row>
    <row r="445" spans="2:45" x14ac:dyDescent="0.2">
      <c r="B445" s="2" t="s">
        <v>4091</v>
      </c>
      <c r="J445" s="29"/>
      <c r="K445" s="29"/>
      <c r="L445" s="29"/>
      <c r="AR445" s="2" t="s">
        <v>1443</v>
      </c>
      <c r="AS445" s="2" t="s">
        <v>1444</v>
      </c>
    </row>
    <row r="446" spans="2:45" x14ac:dyDescent="0.2">
      <c r="B446" s="2" t="s">
        <v>4092</v>
      </c>
      <c r="J446" s="29"/>
      <c r="K446" s="29"/>
      <c r="L446" s="29"/>
      <c r="AR446" s="2" t="s">
        <v>1445</v>
      </c>
      <c r="AS446" s="2" t="s">
        <v>1446</v>
      </c>
    </row>
    <row r="447" spans="2:45" x14ac:dyDescent="0.2">
      <c r="B447" s="2" t="s">
        <v>4093</v>
      </c>
      <c r="J447" s="29"/>
      <c r="K447" s="29"/>
      <c r="L447" s="29"/>
      <c r="AR447" s="2" t="s">
        <v>1447</v>
      </c>
      <c r="AS447" s="2" t="s">
        <v>1448</v>
      </c>
    </row>
    <row r="448" spans="2:45" x14ac:dyDescent="0.2">
      <c r="B448" s="2" t="s">
        <v>4094</v>
      </c>
      <c r="J448" s="29"/>
      <c r="K448" s="29"/>
      <c r="L448" s="29"/>
      <c r="AR448" s="2" t="s">
        <v>1652</v>
      </c>
      <c r="AS448" s="2" t="s">
        <v>1653</v>
      </c>
    </row>
    <row r="449" spans="2:45" x14ac:dyDescent="0.2">
      <c r="B449" s="2" t="s">
        <v>4095</v>
      </c>
      <c r="J449" s="29"/>
      <c r="K449" s="29"/>
      <c r="L449" s="29"/>
      <c r="AR449" s="2" t="s">
        <v>1449</v>
      </c>
      <c r="AS449" s="2" t="s">
        <v>1450</v>
      </c>
    </row>
    <row r="450" spans="2:45" x14ac:dyDescent="0.2">
      <c r="B450" s="2" t="s">
        <v>4096</v>
      </c>
      <c r="J450" s="29"/>
      <c r="K450" s="29"/>
      <c r="L450" s="29"/>
      <c r="AR450" s="2" t="s">
        <v>3649</v>
      </c>
      <c r="AS450" s="2" t="s">
        <v>3650</v>
      </c>
    </row>
    <row r="451" spans="2:45" x14ac:dyDescent="0.2">
      <c r="B451" s="2" t="s">
        <v>4097</v>
      </c>
      <c r="J451" s="29"/>
      <c r="K451" s="29"/>
      <c r="L451" s="29"/>
      <c r="AR451" s="2" t="s">
        <v>2792</v>
      </c>
      <c r="AS451" s="2" t="s">
        <v>2793</v>
      </c>
    </row>
    <row r="452" spans="2:45" x14ac:dyDescent="0.2">
      <c r="B452" s="2" t="s">
        <v>4098</v>
      </c>
      <c r="J452" s="29"/>
      <c r="K452" s="29"/>
      <c r="L452" s="29"/>
      <c r="AR452" s="2" t="s">
        <v>1451</v>
      </c>
      <c r="AS452" s="2" t="s">
        <v>1452</v>
      </c>
    </row>
    <row r="453" spans="2:45" x14ac:dyDescent="0.2">
      <c r="B453" s="2" t="s">
        <v>4099</v>
      </c>
      <c r="J453" s="29"/>
      <c r="K453" s="29"/>
      <c r="L453" s="29"/>
      <c r="AR453" s="2" t="s">
        <v>1453</v>
      </c>
      <c r="AS453" s="2" t="s">
        <v>1454</v>
      </c>
    </row>
    <row r="454" spans="2:45" x14ac:dyDescent="0.2">
      <c r="B454" s="2" t="s">
        <v>4100</v>
      </c>
      <c r="J454" s="29"/>
      <c r="K454" s="29"/>
      <c r="L454" s="29"/>
      <c r="AR454" s="2" t="s">
        <v>1654</v>
      </c>
      <c r="AS454" s="2" t="s">
        <v>3049</v>
      </c>
    </row>
    <row r="455" spans="2:45" x14ac:dyDescent="0.2">
      <c r="B455" s="2" t="s">
        <v>4101</v>
      </c>
      <c r="J455" s="29"/>
      <c r="K455" s="29"/>
      <c r="L455" s="29"/>
      <c r="AR455" s="2" t="s">
        <v>1455</v>
      </c>
      <c r="AS455" s="2" t="s">
        <v>1456</v>
      </c>
    </row>
    <row r="456" spans="2:45" x14ac:dyDescent="0.2">
      <c r="B456" s="2" t="s">
        <v>4102</v>
      </c>
      <c r="J456" s="29"/>
      <c r="K456" s="29"/>
      <c r="L456" s="29"/>
      <c r="AR456" s="2" t="s">
        <v>1457</v>
      </c>
      <c r="AS456" s="2" t="s">
        <v>1458</v>
      </c>
    </row>
    <row r="457" spans="2:45" x14ac:dyDescent="0.2">
      <c r="B457" s="2" t="s">
        <v>4103</v>
      </c>
      <c r="J457" s="29"/>
      <c r="K457" s="29"/>
      <c r="L457" s="29"/>
      <c r="AR457" s="2" t="s">
        <v>1459</v>
      </c>
      <c r="AS457" s="2" t="s">
        <v>1460</v>
      </c>
    </row>
    <row r="458" spans="2:45" x14ac:dyDescent="0.2">
      <c r="B458" s="2" t="s">
        <v>4104</v>
      </c>
      <c r="J458" s="29"/>
      <c r="K458" s="29"/>
      <c r="L458" s="29"/>
      <c r="AR458" s="2" t="s">
        <v>1461</v>
      </c>
      <c r="AS458" s="2" t="s">
        <v>1462</v>
      </c>
    </row>
    <row r="459" spans="2:45" x14ac:dyDescent="0.2">
      <c r="B459" s="2" t="s">
        <v>4105</v>
      </c>
      <c r="J459" s="29"/>
      <c r="K459" s="29"/>
      <c r="L459" s="29"/>
      <c r="AR459" s="2" t="s">
        <v>1655</v>
      </c>
      <c r="AS459" s="2" t="s">
        <v>1656</v>
      </c>
    </row>
    <row r="460" spans="2:45" x14ac:dyDescent="0.2">
      <c r="B460" s="2" t="s">
        <v>4106</v>
      </c>
      <c r="J460" s="29"/>
      <c r="K460" s="29"/>
      <c r="L460" s="29"/>
      <c r="AR460" s="2" t="s">
        <v>3408</v>
      </c>
      <c r="AS460" s="2" t="s">
        <v>3409</v>
      </c>
    </row>
    <row r="461" spans="2:45" x14ac:dyDescent="0.2">
      <c r="B461" s="2" t="s">
        <v>4107</v>
      </c>
      <c r="J461" s="29"/>
      <c r="K461" s="29"/>
      <c r="L461" s="29"/>
      <c r="AR461" s="2" t="s">
        <v>1463</v>
      </c>
      <c r="AS461" s="2" t="s">
        <v>1464</v>
      </c>
    </row>
    <row r="462" spans="2:45" x14ac:dyDescent="0.2">
      <c r="B462" s="2" t="s">
        <v>4108</v>
      </c>
      <c r="J462" s="29"/>
      <c r="K462" s="29"/>
      <c r="L462" s="29"/>
      <c r="AR462" s="2" t="s">
        <v>1465</v>
      </c>
      <c r="AS462" s="2" t="s">
        <v>1464</v>
      </c>
    </row>
    <row r="463" spans="2:45" x14ac:dyDescent="0.2">
      <c r="B463" s="2" t="s">
        <v>4109</v>
      </c>
      <c r="J463" s="29"/>
      <c r="K463" s="29"/>
      <c r="L463" s="29"/>
      <c r="AR463" s="2" t="s">
        <v>1466</v>
      </c>
      <c r="AS463" s="2" t="s">
        <v>1467</v>
      </c>
    </row>
    <row r="464" spans="2:45" x14ac:dyDescent="0.2">
      <c r="B464" s="2" t="s">
        <v>4110</v>
      </c>
      <c r="J464" s="29"/>
      <c r="K464" s="29"/>
      <c r="L464" s="29"/>
      <c r="AR464" s="2" t="s">
        <v>1468</v>
      </c>
      <c r="AS464" s="2" t="s">
        <v>1469</v>
      </c>
    </row>
    <row r="465" spans="2:45" x14ac:dyDescent="0.2">
      <c r="B465" s="2" t="s">
        <v>4111</v>
      </c>
      <c r="J465" s="29"/>
      <c r="K465" s="29"/>
      <c r="L465" s="29"/>
      <c r="AR465" s="2" t="s">
        <v>1470</v>
      </c>
      <c r="AS465" s="2" t="s">
        <v>1471</v>
      </c>
    </row>
    <row r="466" spans="2:45" x14ac:dyDescent="0.2">
      <c r="B466" s="2" t="s">
        <v>4112</v>
      </c>
      <c r="J466" s="29"/>
      <c r="K466" s="29"/>
      <c r="L466" s="29"/>
    </row>
    <row r="467" spans="2:45" x14ac:dyDescent="0.2">
      <c r="B467" s="2" t="s">
        <v>4113</v>
      </c>
      <c r="J467" s="29"/>
      <c r="K467" s="29"/>
      <c r="L467" s="29"/>
    </row>
    <row r="468" spans="2:45" x14ac:dyDescent="0.2">
      <c r="B468" s="2" t="s">
        <v>4114</v>
      </c>
      <c r="J468" s="29"/>
      <c r="K468" s="29"/>
      <c r="L468" s="29"/>
    </row>
    <row r="469" spans="2:45" x14ac:dyDescent="0.2">
      <c r="B469" s="2" t="s">
        <v>4115</v>
      </c>
      <c r="J469" s="29"/>
      <c r="K469" s="29"/>
      <c r="L469" s="29"/>
    </row>
    <row r="470" spans="2:45" x14ac:dyDescent="0.2">
      <c r="B470" s="2" t="s">
        <v>4116</v>
      </c>
      <c r="J470" s="29"/>
      <c r="K470" s="29"/>
      <c r="L470" s="29"/>
    </row>
    <row r="471" spans="2:45" x14ac:dyDescent="0.2">
      <c r="B471" s="2" t="s">
        <v>4117</v>
      </c>
      <c r="J471" s="29"/>
      <c r="K471" s="29"/>
      <c r="L471" s="29"/>
    </row>
    <row r="472" spans="2:45" x14ac:dyDescent="0.2">
      <c r="B472" s="2" t="s">
        <v>4118</v>
      </c>
      <c r="J472" s="29"/>
      <c r="K472" s="29"/>
      <c r="L472" s="29"/>
    </row>
    <row r="473" spans="2:45" x14ac:dyDescent="0.2">
      <c r="B473" s="2" t="s">
        <v>4119</v>
      </c>
      <c r="J473" s="29"/>
      <c r="K473" s="29"/>
      <c r="L473" s="29"/>
    </row>
    <row r="474" spans="2:45" x14ac:dyDescent="0.2">
      <c r="B474" s="2" t="s">
        <v>4120</v>
      </c>
      <c r="J474" s="29"/>
      <c r="K474" s="29"/>
      <c r="L474" s="29"/>
    </row>
    <row r="475" spans="2:45" x14ac:dyDescent="0.2">
      <c r="B475" s="2" t="s">
        <v>4121</v>
      </c>
      <c r="J475" s="29"/>
      <c r="K475" s="29"/>
      <c r="L475" s="29"/>
    </row>
    <row r="476" spans="2:45" x14ac:dyDescent="0.2">
      <c r="B476" s="2" t="s">
        <v>4122</v>
      </c>
      <c r="J476" s="29"/>
      <c r="K476" s="29"/>
      <c r="L476" s="29"/>
    </row>
    <row r="477" spans="2:45" x14ac:dyDescent="0.2">
      <c r="B477" s="2" t="s">
        <v>4123</v>
      </c>
      <c r="J477" s="29"/>
      <c r="K477" s="29"/>
      <c r="L477" s="29"/>
    </row>
    <row r="478" spans="2:45" x14ac:dyDescent="0.2">
      <c r="B478" s="2" t="s">
        <v>4124</v>
      </c>
      <c r="J478" s="29"/>
      <c r="K478" s="29"/>
      <c r="L478" s="29"/>
    </row>
    <row r="479" spans="2:45" x14ac:dyDescent="0.2">
      <c r="B479" s="2" t="s">
        <v>4125</v>
      </c>
      <c r="J479" s="29"/>
      <c r="K479" s="29"/>
      <c r="L479" s="29"/>
    </row>
    <row r="480" spans="2:45" x14ac:dyDescent="0.2">
      <c r="B480" s="2" t="s">
        <v>4126</v>
      </c>
      <c r="J480" s="29"/>
      <c r="K480" s="29"/>
      <c r="L480" s="29"/>
    </row>
    <row r="481" spans="2:12" x14ac:dyDescent="0.2">
      <c r="B481" s="2" t="s">
        <v>4127</v>
      </c>
      <c r="J481" s="29"/>
      <c r="K481" s="29"/>
      <c r="L481" s="29"/>
    </row>
    <row r="482" spans="2:12" x14ac:dyDescent="0.2">
      <c r="B482" s="2" t="s">
        <v>4128</v>
      </c>
      <c r="J482" s="29"/>
      <c r="K482" s="29"/>
      <c r="L482" s="29"/>
    </row>
    <row r="483" spans="2:12" x14ac:dyDescent="0.2">
      <c r="B483" s="2" t="s">
        <v>4129</v>
      </c>
      <c r="J483" s="29"/>
      <c r="K483" s="29"/>
      <c r="L483" s="29"/>
    </row>
    <row r="484" spans="2:12" x14ac:dyDescent="0.2">
      <c r="B484" s="2" t="s">
        <v>4130</v>
      </c>
      <c r="J484" s="29"/>
      <c r="K484" s="29"/>
      <c r="L484" s="29"/>
    </row>
    <row r="485" spans="2:12" x14ac:dyDescent="0.2">
      <c r="B485" s="2" t="s">
        <v>4131</v>
      </c>
      <c r="J485" s="29"/>
      <c r="K485" s="29"/>
      <c r="L485" s="29"/>
    </row>
    <row r="486" spans="2:12" x14ac:dyDescent="0.2">
      <c r="B486" s="2" t="s">
        <v>4132</v>
      </c>
      <c r="J486" s="29"/>
      <c r="K486" s="29"/>
      <c r="L486" s="29"/>
    </row>
    <row r="487" spans="2:12" x14ac:dyDescent="0.2">
      <c r="B487" s="2" t="s">
        <v>4133</v>
      </c>
      <c r="J487" s="29"/>
      <c r="K487" s="29"/>
      <c r="L487" s="29"/>
    </row>
    <row r="488" spans="2:12" x14ac:dyDescent="0.2">
      <c r="B488" s="2" t="s">
        <v>4134</v>
      </c>
      <c r="J488" s="29"/>
      <c r="K488" s="29"/>
      <c r="L488" s="29"/>
    </row>
    <row r="489" spans="2:12" x14ac:dyDescent="0.2">
      <c r="B489" s="2" t="s">
        <v>4135</v>
      </c>
      <c r="J489" s="29"/>
      <c r="K489" s="29"/>
      <c r="L489" s="29"/>
    </row>
    <row r="490" spans="2:12" x14ac:dyDescent="0.2">
      <c r="B490" s="2" t="s">
        <v>4136</v>
      </c>
      <c r="J490" s="29"/>
      <c r="K490" s="29"/>
      <c r="L490" s="29"/>
    </row>
    <row r="491" spans="2:12" x14ac:dyDescent="0.2">
      <c r="B491" s="2" t="s">
        <v>4137</v>
      </c>
      <c r="J491" s="29"/>
      <c r="K491" s="29"/>
      <c r="L491" s="29"/>
    </row>
    <row r="492" spans="2:12" x14ac:dyDescent="0.2">
      <c r="B492" s="2" t="s">
        <v>4138</v>
      </c>
      <c r="J492" s="29"/>
      <c r="K492" s="29"/>
      <c r="L492" s="29"/>
    </row>
    <row r="493" spans="2:12" x14ac:dyDescent="0.2">
      <c r="B493" s="2" t="s">
        <v>4139</v>
      </c>
      <c r="J493" s="29"/>
      <c r="K493" s="29"/>
      <c r="L493" s="29"/>
    </row>
    <row r="494" spans="2:12" x14ac:dyDescent="0.2">
      <c r="B494" s="2" t="s">
        <v>4140</v>
      </c>
      <c r="J494" s="29"/>
      <c r="K494" s="29"/>
      <c r="L494" s="29"/>
    </row>
    <row r="495" spans="2:12" x14ac:dyDescent="0.2">
      <c r="B495" s="2" t="s">
        <v>4141</v>
      </c>
      <c r="J495" s="29"/>
      <c r="K495" s="29"/>
      <c r="L495" s="29"/>
    </row>
    <row r="496" spans="2:12" x14ac:dyDescent="0.2">
      <c r="B496" s="2" t="s">
        <v>4142</v>
      </c>
      <c r="J496" s="29"/>
      <c r="K496" s="29"/>
      <c r="L496" s="29"/>
    </row>
    <row r="497" spans="2:12" x14ac:dyDescent="0.2">
      <c r="B497" s="2" t="s">
        <v>4143</v>
      </c>
      <c r="J497" s="29"/>
      <c r="K497" s="29"/>
      <c r="L497" s="29"/>
    </row>
    <row r="498" spans="2:12" x14ac:dyDescent="0.2">
      <c r="B498" s="2" t="s">
        <v>4144</v>
      </c>
      <c r="J498" s="29"/>
      <c r="K498" s="29"/>
      <c r="L498" s="29"/>
    </row>
    <row r="499" spans="2:12" x14ac:dyDescent="0.2">
      <c r="B499" s="2" t="s">
        <v>4145</v>
      </c>
      <c r="J499" s="29"/>
      <c r="K499" s="29"/>
      <c r="L499" s="29"/>
    </row>
    <row r="500" spans="2:12" x14ac:dyDescent="0.2">
      <c r="B500" s="2" t="s">
        <v>4146</v>
      </c>
      <c r="J500" s="29"/>
      <c r="K500" s="29"/>
      <c r="L500" s="29"/>
    </row>
    <row r="501" spans="2:12" x14ac:dyDescent="0.2">
      <c r="B501" s="2" t="s">
        <v>4147</v>
      </c>
      <c r="J501" s="29"/>
      <c r="K501" s="29"/>
      <c r="L501" s="29"/>
    </row>
    <row r="502" spans="2:12" x14ac:dyDescent="0.2">
      <c r="B502" s="2" t="s">
        <v>4148</v>
      </c>
      <c r="J502" s="29"/>
      <c r="K502" s="29"/>
      <c r="L502" s="29"/>
    </row>
    <row r="503" spans="2:12" x14ac:dyDescent="0.2">
      <c r="B503" s="2" t="s">
        <v>4149</v>
      </c>
      <c r="J503" s="29"/>
      <c r="K503" s="29"/>
      <c r="L503" s="29"/>
    </row>
    <row r="504" spans="2:12" x14ac:dyDescent="0.2">
      <c r="B504" s="2" t="s">
        <v>4150</v>
      </c>
    </row>
    <row r="505" spans="2:12" x14ac:dyDescent="0.2">
      <c r="B505" s="2" t="s">
        <v>4151</v>
      </c>
    </row>
    <row r="506" spans="2:12" x14ac:dyDescent="0.2">
      <c r="B506" s="2" t="s">
        <v>4152</v>
      </c>
    </row>
    <row r="507" spans="2:12" x14ac:dyDescent="0.2">
      <c r="B507" s="2" t="s">
        <v>4153</v>
      </c>
    </row>
    <row r="508" spans="2:12" x14ac:dyDescent="0.2">
      <c r="B508" s="2" t="s">
        <v>4154</v>
      </c>
    </row>
    <row r="509" spans="2:12" x14ac:dyDescent="0.2">
      <c r="B509" s="2" t="s">
        <v>4155</v>
      </c>
    </row>
    <row r="510" spans="2:12" x14ac:dyDescent="0.2">
      <c r="B510" s="2" t="s">
        <v>4156</v>
      </c>
    </row>
    <row r="511" spans="2:12" x14ac:dyDescent="0.2">
      <c r="B511" s="2" t="s">
        <v>4157</v>
      </c>
    </row>
    <row r="512" spans="2:12" x14ac:dyDescent="0.2">
      <c r="B512" s="2" t="s">
        <v>4158</v>
      </c>
    </row>
    <row r="513" spans="2:2" x14ac:dyDescent="0.2">
      <c r="B513" s="2" t="s">
        <v>4159</v>
      </c>
    </row>
    <row r="514" spans="2:2" x14ac:dyDescent="0.2">
      <c r="B514" s="2" t="s">
        <v>4160</v>
      </c>
    </row>
    <row r="515" spans="2:2" x14ac:dyDescent="0.2">
      <c r="B515" s="2" t="s">
        <v>4161</v>
      </c>
    </row>
    <row r="516" spans="2:2" x14ac:dyDescent="0.2">
      <c r="B516" s="2" t="s">
        <v>4162</v>
      </c>
    </row>
    <row r="517" spans="2:2" x14ac:dyDescent="0.2">
      <c r="B517" s="2" t="s">
        <v>4163</v>
      </c>
    </row>
    <row r="518" spans="2:2" x14ac:dyDescent="0.2">
      <c r="B518" s="2" t="s">
        <v>4164</v>
      </c>
    </row>
    <row r="519" spans="2:2" x14ac:dyDescent="0.2">
      <c r="B519" s="2" t="s">
        <v>4165</v>
      </c>
    </row>
    <row r="520" spans="2:2" x14ac:dyDescent="0.2">
      <c r="B520" s="2" t="s">
        <v>4166</v>
      </c>
    </row>
    <row r="521" spans="2:2" x14ac:dyDescent="0.2">
      <c r="B521" s="2" t="s">
        <v>4167</v>
      </c>
    </row>
    <row r="522" spans="2:2" x14ac:dyDescent="0.2">
      <c r="B522" s="2" t="s">
        <v>4168</v>
      </c>
    </row>
    <row r="523" spans="2:2" x14ac:dyDescent="0.2">
      <c r="B523" s="2" t="s">
        <v>4169</v>
      </c>
    </row>
    <row r="524" spans="2:2" x14ac:dyDescent="0.2">
      <c r="B524" s="2" t="s">
        <v>4170</v>
      </c>
    </row>
    <row r="525" spans="2:2" x14ac:dyDescent="0.2">
      <c r="B525" s="2" t="s">
        <v>4171</v>
      </c>
    </row>
    <row r="526" spans="2:2" x14ac:dyDescent="0.2">
      <c r="B526" s="2" t="s">
        <v>4172</v>
      </c>
    </row>
    <row r="527" spans="2:2" x14ac:dyDescent="0.2">
      <c r="B527" s="2" t="s">
        <v>4173</v>
      </c>
    </row>
    <row r="528" spans="2:2" x14ac:dyDescent="0.2">
      <c r="B528" s="2" t="s">
        <v>4174</v>
      </c>
    </row>
    <row r="529" spans="2:2" x14ac:dyDescent="0.2">
      <c r="B529" s="2" t="s">
        <v>4175</v>
      </c>
    </row>
    <row r="530" spans="2:2" x14ac:dyDescent="0.2">
      <c r="B530" s="2" t="s">
        <v>4176</v>
      </c>
    </row>
    <row r="531" spans="2:2" x14ac:dyDescent="0.2">
      <c r="B531" s="2" t="s">
        <v>4177</v>
      </c>
    </row>
    <row r="532" spans="2:2" x14ac:dyDescent="0.2">
      <c r="B532" s="2" t="s">
        <v>4178</v>
      </c>
    </row>
    <row r="533" spans="2:2" x14ac:dyDescent="0.2">
      <c r="B533" s="2" t="s">
        <v>4179</v>
      </c>
    </row>
    <row r="534" spans="2:2" x14ac:dyDescent="0.2">
      <c r="B534" s="2" t="s">
        <v>4180</v>
      </c>
    </row>
    <row r="535" spans="2:2" x14ac:dyDescent="0.2">
      <c r="B535" s="2" t="s">
        <v>4181</v>
      </c>
    </row>
    <row r="536" spans="2:2" x14ac:dyDescent="0.2">
      <c r="B536" s="2" t="s">
        <v>4182</v>
      </c>
    </row>
    <row r="537" spans="2:2" x14ac:dyDescent="0.2">
      <c r="B537" s="2" t="s">
        <v>4183</v>
      </c>
    </row>
    <row r="538" spans="2:2" x14ac:dyDescent="0.2">
      <c r="B538" s="2" t="s">
        <v>4184</v>
      </c>
    </row>
    <row r="539" spans="2:2" x14ac:dyDescent="0.2">
      <c r="B539" s="2" t="s">
        <v>4185</v>
      </c>
    </row>
    <row r="540" spans="2:2" x14ac:dyDescent="0.2">
      <c r="B540" s="2" t="s">
        <v>4186</v>
      </c>
    </row>
    <row r="541" spans="2:2" x14ac:dyDescent="0.2">
      <c r="B541" s="2" t="s">
        <v>4187</v>
      </c>
    </row>
    <row r="542" spans="2:2" x14ac:dyDescent="0.2">
      <c r="B542" s="2" t="s">
        <v>4188</v>
      </c>
    </row>
    <row r="543" spans="2:2" x14ac:dyDescent="0.2">
      <c r="B543" s="2" t="s">
        <v>4189</v>
      </c>
    </row>
    <row r="544" spans="2:2" x14ac:dyDescent="0.2">
      <c r="B544" s="2" t="s">
        <v>4190</v>
      </c>
    </row>
    <row r="545" spans="2:2" x14ac:dyDescent="0.2">
      <c r="B545" s="2" t="s">
        <v>4191</v>
      </c>
    </row>
    <row r="546" spans="2:2" x14ac:dyDescent="0.2">
      <c r="B546" s="2" t="s">
        <v>4192</v>
      </c>
    </row>
    <row r="547" spans="2:2" x14ac:dyDescent="0.2">
      <c r="B547" s="2" t="s">
        <v>4193</v>
      </c>
    </row>
    <row r="548" spans="2:2" x14ac:dyDescent="0.2">
      <c r="B548" s="2" t="s">
        <v>4194</v>
      </c>
    </row>
    <row r="549" spans="2:2" x14ac:dyDescent="0.2">
      <c r="B549" s="2" t="s">
        <v>4195</v>
      </c>
    </row>
    <row r="550" spans="2:2" x14ac:dyDescent="0.2">
      <c r="B550" s="2" t="s">
        <v>4196</v>
      </c>
    </row>
    <row r="551" spans="2:2" x14ac:dyDescent="0.2">
      <c r="B551" s="2" t="s">
        <v>4197</v>
      </c>
    </row>
    <row r="552" spans="2:2" x14ac:dyDescent="0.2">
      <c r="B552" s="2" t="s">
        <v>4198</v>
      </c>
    </row>
    <row r="553" spans="2:2" x14ac:dyDescent="0.2">
      <c r="B553" s="2" t="s">
        <v>4199</v>
      </c>
    </row>
    <row r="554" spans="2:2" x14ac:dyDescent="0.2">
      <c r="B554" s="2" t="s">
        <v>4200</v>
      </c>
    </row>
    <row r="555" spans="2:2" x14ac:dyDescent="0.2">
      <c r="B555" s="2" t="s">
        <v>4201</v>
      </c>
    </row>
    <row r="556" spans="2:2" x14ac:dyDescent="0.2">
      <c r="B556" s="2" t="s">
        <v>4202</v>
      </c>
    </row>
    <row r="557" spans="2:2" x14ac:dyDescent="0.2">
      <c r="B557" s="2" t="s">
        <v>4203</v>
      </c>
    </row>
    <row r="558" spans="2:2" x14ac:dyDescent="0.2">
      <c r="B558" s="2" t="s">
        <v>4204</v>
      </c>
    </row>
    <row r="559" spans="2:2" x14ac:dyDescent="0.2">
      <c r="B559" s="2" t="s">
        <v>4205</v>
      </c>
    </row>
    <row r="560" spans="2:2" x14ac:dyDescent="0.2">
      <c r="B560" s="2" t="s">
        <v>4206</v>
      </c>
    </row>
    <row r="561" spans="2:2" x14ac:dyDescent="0.2">
      <c r="B561" s="2" t="s">
        <v>4207</v>
      </c>
    </row>
    <row r="562" spans="2:2" x14ac:dyDescent="0.2">
      <c r="B562" s="2" t="s">
        <v>4208</v>
      </c>
    </row>
    <row r="563" spans="2:2" x14ac:dyDescent="0.2">
      <c r="B563" s="2" t="s">
        <v>4209</v>
      </c>
    </row>
    <row r="564" spans="2:2" x14ac:dyDescent="0.2">
      <c r="B564" s="2" t="s">
        <v>4210</v>
      </c>
    </row>
    <row r="565" spans="2:2" x14ac:dyDescent="0.2">
      <c r="B565" s="2" t="s">
        <v>4211</v>
      </c>
    </row>
    <row r="566" spans="2:2" x14ac:dyDescent="0.2">
      <c r="B566" s="2" t="s">
        <v>4212</v>
      </c>
    </row>
    <row r="567" spans="2:2" x14ac:dyDescent="0.2">
      <c r="B567" s="2" t="s">
        <v>4213</v>
      </c>
    </row>
    <row r="568" spans="2:2" x14ac:dyDescent="0.2">
      <c r="B568" s="2" t="s">
        <v>4214</v>
      </c>
    </row>
    <row r="569" spans="2:2" x14ac:dyDescent="0.2">
      <c r="B569" s="2" t="s">
        <v>4215</v>
      </c>
    </row>
    <row r="570" spans="2:2" x14ac:dyDescent="0.2">
      <c r="B570" s="2" t="s">
        <v>4216</v>
      </c>
    </row>
    <row r="571" spans="2:2" x14ac:dyDescent="0.2">
      <c r="B571" s="2" t="s">
        <v>4217</v>
      </c>
    </row>
    <row r="572" spans="2:2" x14ac:dyDescent="0.2">
      <c r="B572" s="2" t="s">
        <v>4218</v>
      </c>
    </row>
    <row r="573" spans="2:2" x14ac:dyDescent="0.2">
      <c r="B573" s="2" t="s">
        <v>4219</v>
      </c>
    </row>
    <row r="574" spans="2:2" x14ac:dyDescent="0.2">
      <c r="B574" s="2" t="s">
        <v>4220</v>
      </c>
    </row>
    <row r="575" spans="2:2" x14ac:dyDescent="0.2">
      <c r="B575" s="2" t="s">
        <v>4221</v>
      </c>
    </row>
    <row r="576" spans="2:2" x14ac:dyDescent="0.2">
      <c r="B576" s="2" t="s">
        <v>4222</v>
      </c>
    </row>
    <row r="577" spans="2:2" x14ac:dyDescent="0.2">
      <c r="B577" s="2" t="s">
        <v>4223</v>
      </c>
    </row>
    <row r="578" spans="2:2" x14ac:dyDescent="0.2">
      <c r="B578" s="2" t="s">
        <v>4224</v>
      </c>
    </row>
    <row r="579" spans="2:2" x14ac:dyDescent="0.2">
      <c r="B579" s="2" t="s">
        <v>4225</v>
      </c>
    </row>
    <row r="580" spans="2:2" x14ac:dyDescent="0.2">
      <c r="B580" s="2" t="s">
        <v>4226</v>
      </c>
    </row>
    <row r="581" spans="2:2" x14ac:dyDescent="0.2">
      <c r="B581" s="2" t="s">
        <v>4227</v>
      </c>
    </row>
    <row r="582" spans="2:2" x14ac:dyDescent="0.2">
      <c r="B582" s="2" t="s">
        <v>4228</v>
      </c>
    </row>
    <row r="583" spans="2:2" x14ac:dyDescent="0.2">
      <c r="B583" s="2" t="s">
        <v>4229</v>
      </c>
    </row>
    <row r="584" spans="2:2" x14ac:dyDescent="0.2">
      <c r="B584" s="2" t="s">
        <v>4230</v>
      </c>
    </row>
    <row r="585" spans="2:2" x14ac:dyDescent="0.2">
      <c r="B585" s="2" t="s">
        <v>4231</v>
      </c>
    </row>
    <row r="586" spans="2:2" x14ac:dyDescent="0.2">
      <c r="B586" s="2" t="s">
        <v>4232</v>
      </c>
    </row>
    <row r="587" spans="2:2" x14ac:dyDescent="0.2">
      <c r="B587" s="2" t="s">
        <v>4233</v>
      </c>
    </row>
    <row r="588" spans="2:2" x14ac:dyDescent="0.2">
      <c r="B588" s="2" t="s">
        <v>4234</v>
      </c>
    </row>
    <row r="589" spans="2:2" x14ac:dyDescent="0.2">
      <c r="B589" s="2" t="s">
        <v>4235</v>
      </c>
    </row>
    <row r="590" spans="2:2" x14ac:dyDescent="0.2">
      <c r="B590" s="2" t="s">
        <v>4236</v>
      </c>
    </row>
    <row r="591" spans="2:2" x14ac:dyDescent="0.2">
      <c r="B591" s="2" t="s">
        <v>4237</v>
      </c>
    </row>
    <row r="592" spans="2:2" x14ac:dyDescent="0.2">
      <c r="B592" s="2" t="s">
        <v>4238</v>
      </c>
    </row>
    <row r="593" spans="2:2" x14ac:dyDescent="0.2">
      <c r="B593" s="2" t="s">
        <v>4239</v>
      </c>
    </row>
    <row r="594" spans="2:2" x14ac:dyDescent="0.2">
      <c r="B594" s="2" t="s">
        <v>4240</v>
      </c>
    </row>
    <row r="595" spans="2:2" x14ac:dyDescent="0.2">
      <c r="B595" s="2" t="s">
        <v>4241</v>
      </c>
    </row>
    <row r="596" spans="2:2" x14ac:dyDescent="0.2">
      <c r="B596" s="2" t="s">
        <v>4242</v>
      </c>
    </row>
    <row r="597" spans="2:2" x14ac:dyDescent="0.2">
      <c r="B597" s="2" t="s">
        <v>4243</v>
      </c>
    </row>
    <row r="598" spans="2:2" x14ac:dyDescent="0.2">
      <c r="B598" s="2" t="s">
        <v>4244</v>
      </c>
    </row>
    <row r="599" spans="2:2" x14ac:dyDescent="0.2">
      <c r="B599" s="2" t="s">
        <v>4245</v>
      </c>
    </row>
    <row r="600" spans="2:2" x14ac:dyDescent="0.2">
      <c r="B600" s="2" t="s">
        <v>4246</v>
      </c>
    </row>
    <row r="601" spans="2:2" x14ac:dyDescent="0.2">
      <c r="B601" s="2" t="s">
        <v>4247</v>
      </c>
    </row>
    <row r="602" spans="2:2" x14ac:dyDescent="0.2">
      <c r="B602" s="2" t="s">
        <v>4248</v>
      </c>
    </row>
    <row r="603" spans="2:2" x14ac:dyDescent="0.2">
      <c r="B603" s="2" t="s">
        <v>4249</v>
      </c>
    </row>
    <row r="604" spans="2:2" x14ac:dyDescent="0.2">
      <c r="B604" s="2" t="s">
        <v>4250</v>
      </c>
    </row>
    <row r="605" spans="2:2" x14ac:dyDescent="0.2">
      <c r="B605" s="2" t="s">
        <v>4251</v>
      </c>
    </row>
    <row r="606" spans="2:2" x14ac:dyDescent="0.2">
      <c r="B606" s="2" t="s">
        <v>4252</v>
      </c>
    </row>
    <row r="607" spans="2:2" x14ac:dyDescent="0.2">
      <c r="B607" s="2" t="s">
        <v>4253</v>
      </c>
    </row>
    <row r="608" spans="2:2" x14ac:dyDescent="0.2">
      <c r="B608" s="2" t="s">
        <v>4254</v>
      </c>
    </row>
    <row r="609" spans="2:2" x14ac:dyDescent="0.2">
      <c r="B609" s="2" t="s">
        <v>4255</v>
      </c>
    </row>
    <row r="610" spans="2:2" x14ac:dyDescent="0.2">
      <c r="B610" s="2" t="s">
        <v>4256</v>
      </c>
    </row>
    <row r="611" spans="2:2" x14ac:dyDescent="0.2">
      <c r="B611" s="2" t="s">
        <v>4257</v>
      </c>
    </row>
    <row r="612" spans="2:2" x14ac:dyDescent="0.2">
      <c r="B612" s="2" t="s">
        <v>4258</v>
      </c>
    </row>
    <row r="613" spans="2:2" x14ac:dyDescent="0.2">
      <c r="B613" s="2" t="s">
        <v>4259</v>
      </c>
    </row>
    <row r="614" spans="2:2" x14ac:dyDescent="0.2">
      <c r="B614" s="2" t="s">
        <v>4260</v>
      </c>
    </row>
    <row r="615" spans="2:2" x14ac:dyDescent="0.2">
      <c r="B615" s="2" t="s">
        <v>4261</v>
      </c>
    </row>
    <row r="616" spans="2:2" x14ac:dyDescent="0.2">
      <c r="B616" s="2" t="s">
        <v>4262</v>
      </c>
    </row>
    <row r="617" spans="2:2" x14ac:dyDescent="0.2">
      <c r="B617" s="2" t="s">
        <v>4263</v>
      </c>
    </row>
    <row r="618" spans="2:2" x14ac:dyDescent="0.2">
      <c r="B618" s="2" t="s">
        <v>4264</v>
      </c>
    </row>
    <row r="619" spans="2:2" x14ac:dyDescent="0.2">
      <c r="B619" s="2" t="s">
        <v>4265</v>
      </c>
    </row>
    <row r="620" spans="2:2" x14ac:dyDescent="0.2">
      <c r="B620" s="2" t="s">
        <v>4266</v>
      </c>
    </row>
    <row r="621" spans="2:2" x14ac:dyDescent="0.2">
      <c r="B621" s="2" t="s">
        <v>4267</v>
      </c>
    </row>
    <row r="622" spans="2:2" x14ac:dyDescent="0.2">
      <c r="B622" s="2" t="s">
        <v>4268</v>
      </c>
    </row>
    <row r="623" spans="2:2" x14ac:dyDescent="0.2">
      <c r="B623" s="2" t="s">
        <v>4269</v>
      </c>
    </row>
    <row r="624" spans="2:2" x14ac:dyDescent="0.2">
      <c r="B624" s="2" t="s">
        <v>4270</v>
      </c>
    </row>
    <row r="625" spans="2:2" x14ac:dyDescent="0.2">
      <c r="B625" s="2" t="s">
        <v>4271</v>
      </c>
    </row>
    <row r="626" spans="2:2" x14ac:dyDescent="0.2">
      <c r="B626" s="2" t="s">
        <v>4272</v>
      </c>
    </row>
    <row r="627" spans="2:2" x14ac:dyDescent="0.2">
      <c r="B627" s="2" t="s">
        <v>4273</v>
      </c>
    </row>
    <row r="629" spans="2:2" x14ac:dyDescent="0.2">
      <c r="B629" s="2" t="s">
        <v>3267</v>
      </c>
    </row>
    <row r="630" spans="2:2" x14ac:dyDescent="0.2">
      <c r="B630" s="2" t="s">
        <v>3268</v>
      </c>
    </row>
    <row r="631" spans="2:2" x14ac:dyDescent="0.2">
      <c r="B631" s="2" t="s">
        <v>3269</v>
      </c>
    </row>
    <row r="632" spans="2:2" x14ac:dyDescent="0.2">
      <c r="B632" s="2" t="s">
        <v>3270</v>
      </c>
    </row>
    <row r="633" spans="2:2" x14ac:dyDescent="0.2">
      <c r="B633" s="2" t="s">
        <v>3271</v>
      </c>
    </row>
    <row r="634" spans="2:2" x14ac:dyDescent="0.2">
      <c r="B634" s="2" t="s">
        <v>3272</v>
      </c>
    </row>
    <row r="635" spans="2:2" x14ac:dyDescent="0.2">
      <c r="B635" s="2" t="s">
        <v>3273</v>
      </c>
    </row>
    <row r="636" spans="2:2" x14ac:dyDescent="0.2">
      <c r="B636" s="2" t="s">
        <v>3274</v>
      </c>
    </row>
    <row r="637" spans="2:2" x14ac:dyDescent="0.2">
      <c r="B637" s="2" t="s">
        <v>3275</v>
      </c>
    </row>
    <row r="638" spans="2:2" x14ac:dyDescent="0.2">
      <c r="B638" s="2" t="s">
        <v>3276</v>
      </c>
    </row>
    <row r="639" spans="2:2" x14ac:dyDescent="0.2">
      <c r="B639" s="2" t="s">
        <v>3277</v>
      </c>
    </row>
    <row r="640" spans="2:2" x14ac:dyDescent="0.2">
      <c r="B640" s="2" t="s">
        <v>3278</v>
      </c>
    </row>
    <row r="641" spans="2:2" x14ac:dyDescent="0.2">
      <c r="B641" s="2" t="s">
        <v>3279</v>
      </c>
    </row>
    <row r="642" spans="2:2" x14ac:dyDescent="0.2">
      <c r="B642" s="2" t="s">
        <v>3280</v>
      </c>
    </row>
    <row r="643" spans="2:2" x14ac:dyDescent="0.2">
      <c r="B643" s="2" t="s">
        <v>3281</v>
      </c>
    </row>
    <row r="644" spans="2:2" x14ac:dyDescent="0.2">
      <c r="B644" s="2" t="s">
        <v>3282</v>
      </c>
    </row>
    <row r="645" spans="2:2" x14ac:dyDescent="0.2">
      <c r="B645" s="2" t="s">
        <v>3283</v>
      </c>
    </row>
    <row r="646" spans="2:2" x14ac:dyDescent="0.2">
      <c r="B646" s="2" t="s">
        <v>3284</v>
      </c>
    </row>
    <row r="647" spans="2:2" x14ac:dyDescent="0.2">
      <c r="B647" s="2" t="s">
        <v>3285</v>
      </c>
    </row>
    <row r="648" spans="2:2" x14ac:dyDescent="0.2">
      <c r="B648" s="2" t="s">
        <v>3286</v>
      </c>
    </row>
    <row r="649" spans="2:2" x14ac:dyDescent="0.2">
      <c r="B649" s="2" t="s">
        <v>3287</v>
      </c>
    </row>
    <row r="650" spans="2:2" x14ac:dyDescent="0.2">
      <c r="B650" s="2" t="s">
        <v>3288</v>
      </c>
    </row>
    <row r="651" spans="2:2" x14ac:dyDescent="0.2">
      <c r="B651" s="2" t="s">
        <v>3289</v>
      </c>
    </row>
    <row r="652" spans="2:2" x14ac:dyDescent="0.2">
      <c r="B652" s="2" t="s">
        <v>3290</v>
      </c>
    </row>
    <row r="653" spans="2:2" x14ac:dyDescent="0.2">
      <c r="B653" s="2" t="s">
        <v>3291</v>
      </c>
    </row>
    <row r="654" spans="2:2" x14ac:dyDescent="0.2">
      <c r="B654" s="2" t="s">
        <v>3292</v>
      </c>
    </row>
    <row r="655" spans="2:2" x14ac:dyDescent="0.2">
      <c r="B655" s="2" t="s">
        <v>3293</v>
      </c>
    </row>
    <row r="656" spans="2:2" x14ac:dyDescent="0.2">
      <c r="B656" s="2" t="s">
        <v>3294</v>
      </c>
    </row>
    <row r="657" spans="2:2" x14ac:dyDescent="0.2">
      <c r="B657" s="2" t="s">
        <v>3295</v>
      </c>
    </row>
    <row r="658" spans="2:2" x14ac:dyDescent="0.2">
      <c r="B658" s="2" t="s">
        <v>3296</v>
      </c>
    </row>
    <row r="659" spans="2:2" x14ac:dyDescent="0.2">
      <c r="B659" s="2" t="s">
        <v>3297</v>
      </c>
    </row>
    <row r="660" spans="2:2" x14ac:dyDescent="0.2">
      <c r="B660" s="2" t="s">
        <v>3298</v>
      </c>
    </row>
    <row r="661" spans="2:2" x14ac:dyDescent="0.2">
      <c r="B661" s="2" t="s">
        <v>3299</v>
      </c>
    </row>
    <row r="662" spans="2:2" x14ac:dyDescent="0.2">
      <c r="B662" s="2" t="s">
        <v>3300</v>
      </c>
    </row>
    <row r="663" spans="2:2" x14ac:dyDescent="0.2">
      <c r="B663" s="2" t="s">
        <v>3301</v>
      </c>
    </row>
    <row r="664" spans="2:2" x14ac:dyDescent="0.2">
      <c r="B664" s="2" t="s">
        <v>3302</v>
      </c>
    </row>
    <row r="665" spans="2:2" x14ac:dyDescent="0.2">
      <c r="B665" s="2" t="s">
        <v>3303</v>
      </c>
    </row>
    <row r="666" spans="2:2" x14ac:dyDescent="0.2">
      <c r="B666" s="2" t="s">
        <v>3304</v>
      </c>
    </row>
    <row r="667" spans="2:2" x14ac:dyDescent="0.2">
      <c r="B667" s="2" t="s">
        <v>3305</v>
      </c>
    </row>
    <row r="668" spans="2:2" x14ac:dyDescent="0.2">
      <c r="B668" s="2" t="s">
        <v>3306</v>
      </c>
    </row>
    <row r="669" spans="2:2" x14ac:dyDescent="0.2">
      <c r="B669" s="2" t="s">
        <v>3307</v>
      </c>
    </row>
    <row r="670" spans="2:2" x14ac:dyDescent="0.2">
      <c r="B670" s="2" t="s">
        <v>3308</v>
      </c>
    </row>
    <row r="671" spans="2:2" x14ac:dyDescent="0.2">
      <c r="B671" s="2" t="s">
        <v>3309</v>
      </c>
    </row>
    <row r="672" spans="2:2" x14ac:dyDescent="0.2">
      <c r="B672" s="2" t="s">
        <v>3310</v>
      </c>
    </row>
    <row r="673" spans="2:2" x14ac:dyDescent="0.2">
      <c r="B673" s="2" t="s">
        <v>3311</v>
      </c>
    </row>
    <row r="674" spans="2:2" x14ac:dyDescent="0.2">
      <c r="B674" s="2" t="s">
        <v>3312</v>
      </c>
    </row>
    <row r="675" spans="2:2" x14ac:dyDescent="0.2">
      <c r="B675" s="2" t="s">
        <v>3313</v>
      </c>
    </row>
    <row r="676" spans="2:2" x14ac:dyDescent="0.2">
      <c r="B676" s="2" t="s">
        <v>3314</v>
      </c>
    </row>
    <row r="677" spans="2:2" x14ac:dyDescent="0.2">
      <c r="B677" s="2" t="s">
        <v>3315</v>
      </c>
    </row>
    <row r="678" spans="2:2" x14ac:dyDescent="0.2">
      <c r="B678" s="2" t="s">
        <v>3316</v>
      </c>
    </row>
    <row r="679" spans="2:2" x14ac:dyDescent="0.2">
      <c r="B679" s="2" t="s">
        <v>3317</v>
      </c>
    </row>
    <row r="680" spans="2:2" x14ac:dyDescent="0.2">
      <c r="B680" s="2" t="s">
        <v>3318</v>
      </c>
    </row>
    <row r="681" spans="2:2" x14ac:dyDescent="0.2">
      <c r="B681" s="2" t="s">
        <v>3319</v>
      </c>
    </row>
    <row r="682" spans="2:2" x14ac:dyDescent="0.2">
      <c r="B682" s="2" t="s">
        <v>3320</v>
      </c>
    </row>
    <row r="683" spans="2:2" x14ac:dyDescent="0.2">
      <c r="B683" s="2" t="s">
        <v>3321</v>
      </c>
    </row>
    <row r="684" spans="2:2" x14ac:dyDescent="0.2">
      <c r="B684" s="2" t="s">
        <v>3322</v>
      </c>
    </row>
    <row r="685" spans="2:2" x14ac:dyDescent="0.2">
      <c r="B685" s="2" t="s">
        <v>3323</v>
      </c>
    </row>
    <row r="686" spans="2:2" x14ac:dyDescent="0.2">
      <c r="B686" s="2" t="s">
        <v>3324</v>
      </c>
    </row>
    <row r="687" spans="2:2" x14ac:dyDescent="0.2">
      <c r="B687" s="2" t="s">
        <v>3325</v>
      </c>
    </row>
    <row r="688" spans="2:2" x14ac:dyDescent="0.2">
      <c r="B688" s="2" t="s">
        <v>3326</v>
      </c>
    </row>
    <row r="689" spans="2:2" x14ac:dyDescent="0.2">
      <c r="B689" s="2" t="s">
        <v>3327</v>
      </c>
    </row>
    <row r="690" spans="2:2" x14ac:dyDescent="0.2">
      <c r="B690" s="2" t="s">
        <v>3328</v>
      </c>
    </row>
    <row r="691" spans="2:2" x14ac:dyDescent="0.2">
      <c r="B691" s="2" t="s">
        <v>3329</v>
      </c>
    </row>
    <row r="692" spans="2:2" x14ac:dyDescent="0.2">
      <c r="B692" s="2" t="s">
        <v>3330</v>
      </c>
    </row>
    <row r="693" spans="2:2" x14ac:dyDescent="0.2">
      <c r="B693" s="2" t="s">
        <v>3331</v>
      </c>
    </row>
    <row r="694" spans="2:2" x14ac:dyDescent="0.2">
      <c r="B694" s="2" t="s">
        <v>3332</v>
      </c>
    </row>
    <row r="695" spans="2:2" x14ac:dyDescent="0.2">
      <c r="B695" s="2" t="s">
        <v>3333</v>
      </c>
    </row>
    <row r="696" spans="2:2" x14ac:dyDescent="0.2">
      <c r="B696" s="2" t="s">
        <v>3334</v>
      </c>
    </row>
    <row r="697" spans="2:2" x14ac:dyDescent="0.2">
      <c r="B697" s="2" t="s">
        <v>3335</v>
      </c>
    </row>
    <row r="698" spans="2:2" x14ac:dyDescent="0.2">
      <c r="B698" s="2" t="s">
        <v>3336</v>
      </c>
    </row>
    <row r="699" spans="2:2" x14ac:dyDescent="0.2">
      <c r="B699" s="2" t="s">
        <v>3337</v>
      </c>
    </row>
    <row r="700" spans="2:2" x14ac:dyDescent="0.2">
      <c r="B700" s="2" t="s">
        <v>3338</v>
      </c>
    </row>
    <row r="701" spans="2:2" x14ac:dyDescent="0.2">
      <c r="B701" s="2" t="s">
        <v>3339</v>
      </c>
    </row>
    <row r="702" spans="2:2" x14ac:dyDescent="0.2">
      <c r="B702" s="2" t="s">
        <v>3340</v>
      </c>
    </row>
    <row r="703" spans="2:2" x14ac:dyDescent="0.2">
      <c r="B703" s="2" t="s">
        <v>3341</v>
      </c>
    </row>
    <row r="704" spans="2:2" x14ac:dyDescent="0.2">
      <c r="B704" s="2" t="s">
        <v>3342</v>
      </c>
    </row>
    <row r="705" spans="2:2" x14ac:dyDescent="0.2">
      <c r="B705" s="2" t="s">
        <v>3343</v>
      </c>
    </row>
    <row r="706" spans="2:2" x14ac:dyDescent="0.2">
      <c r="B706" s="2" t="s">
        <v>3344</v>
      </c>
    </row>
    <row r="707" spans="2:2" x14ac:dyDescent="0.2">
      <c r="B707" s="2" t="s">
        <v>3345</v>
      </c>
    </row>
    <row r="708" spans="2:2" x14ac:dyDescent="0.2">
      <c r="B708" s="2" t="s">
        <v>3346</v>
      </c>
    </row>
    <row r="709" spans="2:2" x14ac:dyDescent="0.2">
      <c r="B709" s="2" t="s">
        <v>3347</v>
      </c>
    </row>
    <row r="710" spans="2:2" x14ac:dyDescent="0.2">
      <c r="B710" s="2" t="s">
        <v>3348</v>
      </c>
    </row>
    <row r="711" spans="2:2" x14ac:dyDescent="0.2">
      <c r="B711" s="2" t="s">
        <v>3349</v>
      </c>
    </row>
    <row r="712" spans="2:2" x14ac:dyDescent="0.2">
      <c r="B712" s="2" t="s">
        <v>3350</v>
      </c>
    </row>
    <row r="713" spans="2:2" x14ac:dyDescent="0.2">
      <c r="B713" s="2" t="s">
        <v>3351</v>
      </c>
    </row>
    <row r="714" spans="2:2" x14ac:dyDescent="0.2">
      <c r="B714" s="2" t="s">
        <v>3352</v>
      </c>
    </row>
    <row r="715" spans="2:2" x14ac:dyDescent="0.2">
      <c r="B715" s="2" t="s">
        <v>3353</v>
      </c>
    </row>
    <row r="716" spans="2:2" x14ac:dyDescent="0.2">
      <c r="B716" s="2" t="s">
        <v>3354</v>
      </c>
    </row>
    <row r="717" spans="2:2" x14ac:dyDescent="0.2">
      <c r="B717" s="2" t="s">
        <v>3355</v>
      </c>
    </row>
    <row r="718" spans="2:2" x14ac:dyDescent="0.2">
      <c r="B718" s="2" t="s">
        <v>3356</v>
      </c>
    </row>
    <row r="719" spans="2:2" x14ac:dyDescent="0.2">
      <c r="B719" s="2" t="s">
        <v>3357</v>
      </c>
    </row>
    <row r="720" spans="2:2" x14ac:dyDescent="0.2">
      <c r="B720" s="2" t="s">
        <v>3358</v>
      </c>
    </row>
    <row r="721" spans="2:2" x14ac:dyDescent="0.2">
      <c r="B721" s="2" t="s">
        <v>3359</v>
      </c>
    </row>
    <row r="722" spans="2:2" x14ac:dyDescent="0.2">
      <c r="B722" s="2" t="s">
        <v>3360</v>
      </c>
    </row>
    <row r="723" spans="2:2" x14ac:dyDescent="0.2">
      <c r="B723" s="2" t="s">
        <v>3361</v>
      </c>
    </row>
    <row r="724" spans="2:2" x14ac:dyDescent="0.2">
      <c r="B724" s="2" t="s">
        <v>3362</v>
      </c>
    </row>
    <row r="725" spans="2:2" x14ac:dyDescent="0.2">
      <c r="B725" s="2" t="s">
        <v>3363</v>
      </c>
    </row>
    <row r="726" spans="2:2" x14ac:dyDescent="0.2">
      <c r="B726" s="2" t="s">
        <v>3364</v>
      </c>
    </row>
    <row r="727" spans="2:2" x14ac:dyDescent="0.2">
      <c r="B727" s="2" t="s">
        <v>3365</v>
      </c>
    </row>
    <row r="728" spans="2:2" x14ac:dyDescent="0.2">
      <c r="B728" s="2" t="s">
        <v>3366</v>
      </c>
    </row>
    <row r="729" spans="2:2" x14ac:dyDescent="0.2">
      <c r="B729" s="2" t="s">
        <v>3367</v>
      </c>
    </row>
    <row r="730" spans="2:2" x14ac:dyDescent="0.2">
      <c r="B730" s="2" t="s">
        <v>3368</v>
      </c>
    </row>
    <row r="731" spans="2:2" x14ac:dyDescent="0.2">
      <c r="B731" s="2" t="s">
        <v>3369</v>
      </c>
    </row>
    <row r="732" spans="2:2" x14ac:dyDescent="0.2">
      <c r="B732" s="2" t="s">
        <v>3370</v>
      </c>
    </row>
    <row r="733" spans="2:2" x14ac:dyDescent="0.2">
      <c r="B733" s="2" t="s">
        <v>3371</v>
      </c>
    </row>
    <row r="734" spans="2:2" x14ac:dyDescent="0.2">
      <c r="B734" s="2" t="s">
        <v>3372</v>
      </c>
    </row>
    <row r="735" spans="2:2" x14ac:dyDescent="0.2">
      <c r="B735" s="2" t="s">
        <v>3373</v>
      </c>
    </row>
    <row r="736" spans="2:2" x14ac:dyDescent="0.2">
      <c r="B736" s="2" t="s">
        <v>3374</v>
      </c>
    </row>
    <row r="737" spans="2:2" x14ac:dyDescent="0.2">
      <c r="B737" s="2" t="s">
        <v>3375</v>
      </c>
    </row>
    <row r="738" spans="2:2" x14ac:dyDescent="0.2">
      <c r="B738" s="2" t="s">
        <v>3376</v>
      </c>
    </row>
    <row r="739" spans="2:2" x14ac:dyDescent="0.2">
      <c r="B739" s="2" t="s">
        <v>3377</v>
      </c>
    </row>
    <row r="740" spans="2:2" x14ac:dyDescent="0.2">
      <c r="B740" s="2" t="s">
        <v>3378</v>
      </c>
    </row>
    <row r="741" spans="2:2" x14ac:dyDescent="0.2">
      <c r="B741" s="2" t="s">
        <v>3378</v>
      </c>
    </row>
    <row r="742" spans="2:2" x14ac:dyDescent="0.2">
      <c r="B742" s="2" t="s">
        <v>3087</v>
      </c>
    </row>
    <row r="743" spans="2:2" x14ac:dyDescent="0.2">
      <c r="B743" s="2" t="s">
        <v>3088</v>
      </c>
    </row>
    <row r="744" spans="2:2" x14ac:dyDescent="0.2">
      <c r="B744" s="2" t="s">
        <v>3089</v>
      </c>
    </row>
    <row r="745" spans="2:2" x14ac:dyDescent="0.2">
      <c r="B745" s="2" t="s">
        <v>3090</v>
      </c>
    </row>
    <row r="746" spans="2:2" x14ac:dyDescent="0.2">
      <c r="B746" s="2" t="s">
        <v>3091</v>
      </c>
    </row>
    <row r="747" spans="2:2" x14ac:dyDescent="0.2">
      <c r="B747" s="2" t="s">
        <v>3092</v>
      </c>
    </row>
    <row r="748" spans="2:2" x14ac:dyDescent="0.2">
      <c r="B748" s="2" t="s">
        <v>3093</v>
      </c>
    </row>
    <row r="749" spans="2:2" x14ac:dyDescent="0.2">
      <c r="B749" s="2" t="s">
        <v>3094</v>
      </c>
    </row>
    <row r="750" spans="2:2" x14ac:dyDescent="0.2">
      <c r="B750" s="2" t="s">
        <v>3095</v>
      </c>
    </row>
    <row r="751" spans="2:2" x14ac:dyDescent="0.2">
      <c r="B751" s="2" t="s">
        <v>3096</v>
      </c>
    </row>
    <row r="752" spans="2:2" x14ac:dyDescent="0.2">
      <c r="B752" s="2" t="s">
        <v>3097</v>
      </c>
    </row>
    <row r="753" spans="2:2" x14ac:dyDescent="0.2">
      <c r="B753" s="2" t="s">
        <v>3098</v>
      </c>
    </row>
    <row r="754" spans="2:2" x14ac:dyDescent="0.2">
      <c r="B754" s="2" t="s">
        <v>3099</v>
      </c>
    </row>
    <row r="755" spans="2:2" x14ac:dyDescent="0.2">
      <c r="B755" s="2" t="s">
        <v>3100</v>
      </c>
    </row>
    <row r="756" spans="2:2" x14ac:dyDescent="0.2">
      <c r="B756" s="2" t="s">
        <v>3101</v>
      </c>
    </row>
    <row r="757" spans="2:2" x14ac:dyDescent="0.2">
      <c r="B757" s="2" t="s">
        <v>3102</v>
      </c>
    </row>
    <row r="758" spans="2:2" x14ac:dyDescent="0.2">
      <c r="B758" s="2" t="s">
        <v>3103</v>
      </c>
    </row>
    <row r="759" spans="2:2" x14ac:dyDescent="0.2">
      <c r="B759" s="2" t="s">
        <v>3104</v>
      </c>
    </row>
    <row r="760" spans="2:2" x14ac:dyDescent="0.2">
      <c r="B760" s="2" t="s">
        <v>3105</v>
      </c>
    </row>
    <row r="761" spans="2:2" x14ac:dyDescent="0.2">
      <c r="B761" s="2" t="s">
        <v>3106</v>
      </c>
    </row>
    <row r="762" spans="2:2" x14ac:dyDescent="0.2">
      <c r="B762" s="2" t="s">
        <v>3107</v>
      </c>
    </row>
    <row r="763" spans="2:2" x14ac:dyDescent="0.2">
      <c r="B763" s="2" t="s">
        <v>3108</v>
      </c>
    </row>
    <row r="764" spans="2:2" x14ac:dyDescent="0.2">
      <c r="B764" s="2" t="s">
        <v>3109</v>
      </c>
    </row>
    <row r="765" spans="2:2" x14ac:dyDescent="0.2">
      <c r="B765" s="2" t="s">
        <v>3110</v>
      </c>
    </row>
    <row r="766" spans="2:2" x14ac:dyDescent="0.2">
      <c r="B766" s="2" t="s">
        <v>3111</v>
      </c>
    </row>
    <row r="767" spans="2:2" x14ac:dyDescent="0.2">
      <c r="B767" s="2" t="s">
        <v>3112</v>
      </c>
    </row>
    <row r="768" spans="2:2" x14ac:dyDescent="0.2">
      <c r="B768" s="2" t="s">
        <v>3113</v>
      </c>
    </row>
    <row r="769" spans="2:2" x14ac:dyDescent="0.2">
      <c r="B769" s="2" t="s">
        <v>3114</v>
      </c>
    </row>
    <row r="770" spans="2:2" x14ac:dyDescent="0.2">
      <c r="B770" s="2" t="s">
        <v>3115</v>
      </c>
    </row>
    <row r="771" spans="2:2" x14ac:dyDescent="0.2">
      <c r="B771" s="2" t="s">
        <v>3116</v>
      </c>
    </row>
    <row r="772" spans="2:2" x14ac:dyDescent="0.2">
      <c r="B772" s="2" t="s">
        <v>3117</v>
      </c>
    </row>
    <row r="773" spans="2:2" x14ac:dyDescent="0.2">
      <c r="B773" s="2" t="s">
        <v>3118</v>
      </c>
    </row>
    <row r="774" spans="2:2" x14ac:dyDescent="0.2">
      <c r="B774" s="2" t="s">
        <v>3119</v>
      </c>
    </row>
    <row r="775" spans="2:2" x14ac:dyDescent="0.2">
      <c r="B775" s="2" t="s">
        <v>3120</v>
      </c>
    </row>
    <row r="776" spans="2:2" x14ac:dyDescent="0.2">
      <c r="B776" s="2" t="s">
        <v>3121</v>
      </c>
    </row>
    <row r="777" spans="2:2" x14ac:dyDescent="0.2">
      <c r="B777" s="2" t="s">
        <v>3122</v>
      </c>
    </row>
    <row r="778" spans="2:2" x14ac:dyDescent="0.2">
      <c r="B778" s="2" t="s">
        <v>3123</v>
      </c>
    </row>
    <row r="779" spans="2:2" x14ac:dyDescent="0.2">
      <c r="B779" s="2" t="s">
        <v>3124</v>
      </c>
    </row>
    <row r="780" spans="2:2" x14ac:dyDescent="0.2">
      <c r="B780" s="2" t="s">
        <v>3130</v>
      </c>
    </row>
    <row r="781" spans="2:2" x14ac:dyDescent="0.2">
      <c r="B781" s="2" t="s">
        <v>3131</v>
      </c>
    </row>
    <row r="782" spans="2:2" x14ac:dyDescent="0.2">
      <c r="B782" s="2" t="s">
        <v>3132</v>
      </c>
    </row>
    <row r="783" spans="2:2" x14ac:dyDescent="0.2">
      <c r="B783" s="2" t="s">
        <v>3133</v>
      </c>
    </row>
    <row r="784" spans="2:2" x14ac:dyDescent="0.2">
      <c r="B784" s="2" t="s">
        <v>3134</v>
      </c>
    </row>
    <row r="785" spans="2:2" x14ac:dyDescent="0.2">
      <c r="B785" s="2" t="s">
        <v>3135</v>
      </c>
    </row>
    <row r="786" spans="2:2" x14ac:dyDescent="0.2">
      <c r="B786" s="2" t="s">
        <v>3136</v>
      </c>
    </row>
    <row r="787" spans="2:2" x14ac:dyDescent="0.2">
      <c r="B787" s="2" t="s">
        <v>3137</v>
      </c>
    </row>
    <row r="788" spans="2:2" x14ac:dyDescent="0.2">
      <c r="B788" s="2" t="s">
        <v>3138</v>
      </c>
    </row>
    <row r="789" spans="2:2" x14ac:dyDescent="0.2">
      <c r="B789" s="2" t="s">
        <v>3139</v>
      </c>
    </row>
    <row r="790" spans="2:2" x14ac:dyDescent="0.2">
      <c r="B790" s="2" t="s">
        <v>3140</v>
      </c>
    </row>
    <row r="791" spans="2:2" x14ac:dyDescent="0.2">
      <c r="B791" s="2" t="s">
        <v>3141</v>
      </c>
    </row>
    <row r="792" spans="2:2" x14ac:dyDescent="0.2">
      <c r="B792" s="2" t="s">
        <v>3142</v>
      </c>
    </row>
    <row r="793" spans="2:2" x14ac:dyDescent="0.2">
      <c r="B793" s="2" t="s">
        <v>3143</v>
      </c>
    </row>
    <row r="794" spans="2:2" x14ac:dyDescent="0.2">
      <c r="B794" s="2" t="s">
        <v>3144</v>
      </c>
    </row>
    <row r="795" spans="2:2" x14ac:dyDescent="0.2">
      <c r="B795" s="2" t="s">
        <v>3145</v>
      </c>
    </row>
    <row r="796" spans="2:2" x14ac:dyDescent="0.2">
      <c r="B796" s="2" t="s">
        <v>3146</v>
      </c>
    </row>
    <row r="797" spans="2:2" x14ac:dyDescent="0.2">
      <c r="B797" s="2" t="s">
        <v>3147</v>
      </c>
    </row>
    <row r="798" spans="2:2" x14ac:dyDescent="0.2">
      <c r="B798" s="2" t="s">
        <v>3148</v>
      </c>
    </row>
    <row r="799" spans="2:2" x14ac:dyDescent="0.2">
      <c r="B799" s="2" t="s">
        <v>3149</v>
      </c>
    </row>
    <row r="800" spans="2:2" x14ac:dyDescent="0.2">
      <c r="B800" s="2" t="s">
        <v>3150</v>
      </c>
    </row>
    <row r="801" spans="2:2" x14ac:dyDescent="0.2">
      <c r="B801" s="2" t="s">
        <v>3151</v>
      </c>
    </row>
    <row r="802" spans="2:2" x14ac:dyDescent="0.2">
      <c r="B802" s="2" t="s">
        <v>3152</v>
      </c>
    </row>
    <row r="803" spans="2:2" x14ac:dyDescent="0.2">
      <c r="B803" s="2" t="s">
        <v>3153</v>
      </c>
    </row>
    <row r="804" spans="2:2" x14ac:dyDescent="0.2">
      <c r="B804" s="2" t="s">
        <v>3154</v>
      </c>
    </row>
    <row r="805" spans="2:2" x14ac:dyDescent="0.2">
      <c r="B805" s="2" t="s">
        <v>3155</v>
      </c>
    </row>
    <row r="806" spans="2:2" x14ac:dyDescent="0.2">
      <c r="B806" s="2" t="s">
        <v>3156</v>
      </c>
    </row>
    <row r="807" spans="2:2" x14ac:dyDescent="0.2">
      <c r="B807" s="2" t="s">
        <v>3157</v>
      </c>
    </row>
    <row r="808" spans="2:2" x14ac:dyDescent="0.2">
      <c r="B808" s="2" t="s">
        <v>3158</v>
      </c>
    </row>
    <row r="809" spans="2:2" x14ac:dyDescent="0.2">
      <c r="B809" s="2" t="s">
        <v>3159</v>
      </c>
    </row>
    <row r="810" spans="2:2" x14ac:dyDescent="0.2">
      <c r="B810" s="2" t="s">
        <v>3160</v>
      </c>
    </row>
    <row r="811" spans="2:2" x14ac:dyDescent="0.2">
      <c r="B811" s="2" t="s">
        <v>3161</v>
      </c>
    </row>
    <row r="812" spans="2:2" x14ac:dyDescent="0.2">
      <c r="B812" s="2" t="s">
        <v>3162</v>
      </c>
    </row>
    <row r="813" spans="2:2" x14ac:dyDescent="0.2">
      <c r="B813" s="2" t="s">
        <v>3163</v>
      </c>
    </row>
    <row r="814" spans="2:2" x14ac:dyDescent="0.2">
      <c r="B814" s="2" t="s">
        <v>3164</v>
      </c>
    </row>
    <row r="815" spans="2:2" x14ac:dyDescent="0.2">
      <c r="B815" s="2" t="s">
        <v>3165</v>
      </c>
    </row>
    <row r="816" spans="2:2" x14ac:dyDescent="0.2">
      <c r="B816" s="2" t="s">
        <v>3166</v>
      </c>
    </row>
    <row r="817" spans="2:2" x14ac:dyDescent="0.2">
      <c r="B817" s="2" t="s">
        <v>3167</v>
      </c>
    </row>
    <row r="818" spans="2:2" x14ac:dyDescent="0.2">
      <c r="B818" s="2" t="s">
        <v>3168</v>
      </c>
    </row>
    <row r="819" spans="2:2" x14ac:dyDescent="0.2">
      <c r="B819" s="2" t="s">
        <v>3169</v>
      </c>
    </row>
    <row r="820" spans="2:2" x14ac:dyDescent="0.2">
      <c r="B820" s="2" t="s">
        <v>3170</v>
      </c>
    </row>
    <row r="821" spans="2:2" x14ac:dyDescent="0.2">
      <c r="B821" s="2" t="s">
        <v>3171</v>
      </c>
    </row>
    <row r="822" spans="2:2" x14ac:dyDescent="0.2">
      <c r="B822" s="2" t="s">
        <v>3172</v>
      </c>
    </row>
    <row r="823" spans="2:2" x14ac:dyDescent="0.2">
      <c r="B823" s="2" t="s">
        <v>3173</v>
      </c>
    </row>
    <row r="824" spans="2:2" x14ac:dyDescent="0.2">
      <c r="B824" s="2" t="s">
        <v>3174</v>
      </c>
    </row>
    <row r="825" spans="2:2" x14ac:dyDescent="0.2">
      <c r="B825" s="2" t="s">
        <v>3175</v>
      </c>
    </row>
    <row r="826" spans="2:2" x14ac:dyDescent="0.2">
      <c r="B826" s="2" t="s">
        <v>3176</v>
      </c>
    </row>
    <row r="827" spans="2:2" x14ac:dyDescent="0.2">
      <c r="B827" s="2" t="s">
        <v>3177</v>
      </c>
    </row>
    <row r="828" spans="2:2" x14ac:dyDescent="0.2">
      <c r="B828" s="2" t="s">
        <v>3178</v>
      </c>
    </row>
    <row r="829" spans="2:2" x14ac:dyDescent="0.2">
      <c r="B829" s="2" t="s">
        <v>3179</v>
      </c>
    </row>
    <row r="830" spans="2:2" x14ac:dyDescent="0.2">
      <c r="B830" s="2" t="s">
        <v>3180</v>
      </c>
    </row>
    <row r="831" spans="2:2" x14ac:dyDescent="0.2">
      <c r="B831" s="2" t="s">
        <v>3181</v>
      </c>
    </row>
    <row r="832" spans="2:2" x14ac:dyDescent="0.2">
      <c r="B832" s="2" t="s">
        <v>3182</v>
      </c>
    </row>
    <row r="833" spans="2:2" x14ac:dyDescent="0.2">
      <c r="B833" s="2" t="s">
        <v>3183</v>
      </c>
    </row>
    <row r="834" spans="2:2" x14ac:dyDescent="0.2">
      <c r="B834" s="2" t="s">
        <v>3184</v>
      </c>
    </row>
    <row r="835" spans="2:2" x14ac:dyDescent="0.2">
      <c r="B835" s="2" t="s">
        <v>3185</v>
      </c>
    </row>
    <row r="836" spans="2:2" x14ac:dyDescent="0.2">
      <c r="B836" s="2" t="s">
        <v>3186</v>
      </c>
    </row>
    <row r="837" spans="2:2" x14ac:dyDescent="0.2">
      <c r="B837" s="2" t="s">
        <v>3187</v>
      </c>
    </row>
    <row r="838" spans="2:2" x14ac:dyDescent="0.2">
      <c r="B838" s="2" t="s">
        <v>3188</v>
      </c>
    </row>
    <row r="839" spans="2:2" x14ac:dyDescent="0.2">
      <c r="B839" s="2" t="s">
        <v>3189</v>
      </c>
    </row>
    <row r="840" spans="2:2" x14ac:dyDescent="0.2">
      <c r="B840" s="2" t="s">
        <v>3190</v>
      </c>
    </row>
    <row r="841" spans="2:2" x14ac:dyDescent="0.2">
      <c r="B841" s="2" t="s">
        <v>3191</v>
      </c>
    </row>
    <row r="842" spans="2:2" x14ac:dyDescent="0.2">
      <c r="B842" s="2" t="s">
        <v>3192</v>
      </c>
    </row>
    <row r="843" spans="2:2" x14ac:dyDescent="0.2">
      <c r="B843" s="2" t="s">
        <v>3193</v>
      </c>
    </row>
    <row r="844" spans="2:2" x14ac:dyDescent="0.2">
      <c r="B844" s="2" t="s">
        <v>3197</v>
      </c>
    </row>
    <row r="845" spans="2:2" x14ac:dyDescent="0.2">
      <c r="B845" s="2" t="s">
        <v>3198</v>
      </c>
    </row>
    <row r="846" spans="2:2" x14ac:dyDescent="0.2">
      <c r="B846" s="2" t="s">
        <v>3199</v>
      </c>
    </row>
    <row r="847" spans="2:2" x14ac:dyDescent="0.2">
      <c r="B847" s="2" t="s">
        <v>3200</v>
      </c>
    </row>
    <row r="848" spans="2:2" x14ac:dyDescent="0.2">
      <c r="B848" s="2" t="s">
        <v>3201</v>
      </c>
    </row>
    <row r="849" spans="2:2" x14ac:dyDescent="0.2">
      <c r="B849" s="2" t="s">
        <v>3202</v>
      </c>
    </row>
    <row r="850" spans="2:2" x14ac:dyDescent="0.2">
      <c r="B850" s="2" t="s">
        <v>3203</v>
      </c>
    </row>
    <row r="851" spans="2:2" x14ac:dyDescent="0.2">
      <c r="B851" s="2" t="s">
        <v>3204</v>
      </c>
    </row>
    <row r="852" spans="2:2" x14ac:dyDescent="0.2">
      <c r="B852" s="2" t="s">
        <v>3205</v>
      </c>
    </row>
    <row r="853" spans="2:2" x14ac:dyDescent="0.2">
      <c r="B853" s="2" t="s">
        <v>3206</v>
      </c>
    </row>
    <row r="854" spans="2:2" x14ac:dyDescent="0.2">
      <c r="B854" s="2" t="s">
        <v>3207</v>
      </c>
    </row>
    <row r="855" spans="2:2" x14ac:dyDescent="0.2">
      <c r="B855" s="2" t="s">
        <v>3208</v>
      </c>
    </row>
    <row r="856" spans="2:2" x14ac:dyDescent="0.2">
      <c r="B856" s="2" t="s">
        <v>3209</v>
      </c>
    </row>
    <row r="857" spans="2:2" x14ac:dyDescent="0.2">
      <c r="B857" s="2" t="s">
        <v>3210</v>
      </c>
    </row>
    <row r="858" spans="2:2" x14ac:dyDescent="0.2">
      <c r="B858" s="2" t="s">
        <v>3211</v>
      </c>
    </row>
    <row r="859" spans="2:2" x14ac:dyDescent="0.2">
      <c r="B859" s="2" t="s">
        <v>3212</v>
      </c>
    </row>
    <row r="860" spans="2:2" x14ac:dyDescent="0.2">
      <c r="B860" s="2" t="s">
        <v>3213</v>
      </c>
    </row>
    <row r="861" spans="2:2" x14ac:dyDescent="0.2">
      <c r="B861" s="2" t="s">
        <v>3214</v>
      </c>
    </row>
    <row r="862" spans="2:2" x14ac:dyDescent="0.2">
      <c r="B862" s="2" t="s">
        <v>3215</v>
      </c>
    </row>
    <row r="863" spans="2:2" x14ac:dyDescent="0.2">
      <c r="B863" s="2" t="s">
        <v>3216</v>
      </c>
    </row>
    <row r="864" spans="2:2" x14ac:dyDescent="0.2">
      <c r="B864" s="2" t="s">
        <v>3217</v>
      </c>
    </row>
    <row r="865" spans="2:2" x14ac:dyDescent="0.2">
      <c r="B865" s="2" t="s">
        <v>3218</v>
      </c>
    </row>
    <row r="866" spans="2:2" x14ac:dyDescent="0.2">
      <c r="B866" s="2" t="s">
        <v>3219</v>
      </c>
    </row>
    <row r="867" spans="2:2" x14ac:dyDescent="0.2">
      <c r="B867" s="2" t="s">
        <v>3220</v>
      </c>
    </row>
    <row r="868" spans="2:2" x14ac:dyDescent="0.2">
      <c r="B868" s="2" t="s">
        <v>3221</v>
      </c>
    </row>
    <row r="869" spans="2:2" x14ac:dyDescent="0.2">
      <c r="B869" s="2" t="s">
        <v>3222</v>
      </c>
    </row>
    <row r="870" spans="2:2" x14ac:dyDescent="0.2">
      <c r="B870" s="2" t="s">
        <v>3223</v>
      </c>
    </row>
    <row r="871" spans="2:2" x14ac:dyDescent="0.2">
      <c r="B871" s="2" t="s">
        <v>3224</v>
      </c>
    </row>
    <row r="872" spans="2:2" x14ac:dyDescent="0.2">
      <c r="B872" s="2" t="s">
        <v>3225</v>
      </c>
    </row>
    <row r="873" spans="2:2" x14ac:dyDescent="0.2">
      <c r="B873" s="2" t="s">
        <v>3226</v>
      </c>
    </row>
    <row r="874" spans="2:2" x14ac:dyDescent="0.2">
      <c r="B874" s="2" t="s">
        <v>3227</v>
      </c>
    </row>
    <row r="875" spans="2:2" x14ac:dyDescent="0.2">
      <c r="B875" s="2" t="s">
        <v>3228</v>
      </c>
    </row>
    <row r="876" spans="2:2" x14ac:dyDescent="0.2">
      <c r="B876" s="2" t="s">
        <v>3229</v>
      </c>
    </row>
    <row r="877" spans="2:2" x14ac:dyDescent="0.2">
      <c r="B877" s="2" t="s">
        <v>3230</v>
      </c>
    </row>
    <row r="878" spans="2:2" x14ac:dyDescent="0.2">
      <c r="B878" s="2" t="s">
        <v>3231</v>
      </c>
    </row>
    <row r="879" spans="2:2" x14ac:dyDescent="0.2">
      <c r="B879" s="2" t="s">
        <v>3232</v>
      </c>
    </row>
    <row r="880" spans="2:2" x14ac:dyDescent="0.2">
      <c r="B880" s="2" t="s">
        <v>3233</v>
      </c>
    </row>
    <row r="881" spans="2:2" x14ac:dyDescent="0.2">
      <c r="B881" s="2" t="s">
        <v>3234</v>
      </c>
    </row>
    <row r="882" spans="2:2" x14ac:dyDescent="0.2">
      <c r="B882" s="2" t="s">
        <v>3235</v>
      </c>
    </row>
    <row r="883" spans="2:2" x14ac:dyDescent="0.2">
      <c r="B883" s="2" t="s">
        <v>3236</v>
      </c>
    </row>
    <row r="884" spans="2:2" x14ac:dyDescent="0.2">
      <c r="B884" s="2" t="s">
        <v>3237</v>
      </c>
    </row>
    <row r="885" spans="2:2" x14ac:dyDescent="0.2">
      <c r="B885" s="2" t="s">
        <v>3238</v>
      </c>
    </row>
    <row r="886" spans="2:2" x14ac:dyDescent="0.2">
      <c r="B886" s="2" t="s">
        <v>3239</v>
      </c>
    </row>
    <row r="887" spans="2:2" x14ac:dyDescent="0.2">
      <c r="B887" s="2" t="s">
        <v>3240</v>
      </c>
    </row>
    <row r="888" spans="2:2" x14ac:dyDescent="0.2">
      <c r="B888" s="2" t="s">
        <v>3241</v>
      </c>
    </row>
    <row r="889" spans="2:2" x14ac:dyDescent="0.2">
      <c r="B889" s="2" t="s">
        <v>3242</v>
      </c>
    </row>
    <row r="890" spans="2:2" x14ac:dyDescent="0.2">
      <c r="B890" s="2" t="s">
        <v>3243</v>
      </c>
    </row>
    <row r="891" spans="2:2" x14ac:dyDescent="0.2">
      <c r="B891" s="2" t="s">
        <v>3244</v>
      </c>
    </row>
    <row r="892" spans="2:2" x14ac:dyDescent="0.2">
      <c r="B892" s="2" t="s">
        <v>3245</v>
      </c>
    </row>
    <row r="893" spans="2:2" x14ac:dyDescent="0.2">
      <c r="B893" s="2" t="s">
        <v>3246</v>
      </c>
    </row>
    <row r="894" spans="2:2" x14ac:dyDescent="0.2">
      <c r="B894" s="2" t="s">
        <v>3247</v>
      </c>
    </row>
    <row r="895" spans="2:2" x14ac:dyDescent="0.2">
      <c r="B895" s="2" t="s">
        <v>3248</v>
      </c>
    </row>
    <row r="896" spans="2:2" x14ac:dyDescent="0.2">
      <c r="B896" s="2" t="s">
        <v>3249</v>
      </c>
    </row>
    <row r="897" spans="2:2" x14ac:dyDescent="0.2">
      <c r="B897" s="2" t="s">
        <v>3250</v>
      </c>
    </row>
    <row r="898" spans="2:2" x14ac:dyDescent="0.2">
      <c r="B898" s="2" t="s">
        <v>3251</v>
      </c>
    </row>
    <row r="899" spans="2:2" x14ac:dyDescent="0.2">
      <c r="B899" s="2" t="s">
        <v>3252</v>
      </c>
    </row>
    <row r="900" spans="2:2" x14ac:dyDescent="0.2">
      <c r="B900" s="2" t="s">
        <v>3253</v>
      </c>
    </row>
    <row r="901" spans="2:2" x14ac:dyDescent="0.2">
      <c r="B901" s="2" t="s">
        <v>3254</v>
      </c>
    </row>
    <row r="902" spans="2:2" x14ac:dyDescent="0.2">
      <c r="B902" s="2" t="s">
        <v>3255</v>
      </c>
    </row>
    <row r="903" spans="2:2" x14ac:dyDescent="0.2">
      <c r="B903" s="2" t="s">
        <v>3256</v>
      </c>
    </row>
    <row r="904" spans="2:2" x14ac:dyDescent="0.2">
      <c r="B904" s="2" t="s">
        <v>3257</v>
      </c>
    </row>
    <row r="905" spans="2:2" x14ac:dyDescent="0.2">
      <c r="B905" s="2" t="s">
        <v>3258</v>
      </c>
    </row>
    <row r="906" spans="2:2" x14ac:dyDescent="0.2">
      <c r="B906" s="2" t="s">
        <v>3259</v>
      </c>
    </row>
    <row r="907" spans="2:2" x14ac:dyDescent="0.2">
      <c r="B907" s="2" t="s">
        <v>2818</v>
      </c>
    </row>
    <row r="908" spans="2:2" x14ac:dyDescent="0.2">
      <c r="B908" s="2" t="s">
        <v>2819</v>
      </c>
    </row>
    <row r="909" spans="2:2" x14ac:dyDescent="0.2">
      <c r="B909" s="2" t="s">
        <v>2820</v>
      </c>
    </row>
    <row r="910" spans="2:2" x14ac:dyDescent="0.2">
      <c r="B910" s="2" t="s">
        <v>2821</v>
      </c>
    </row>
    <row r="911" spans="2:2" x14ac:dyDescent="0.2">
      <c r="B911" s="2" t="s">
        <v>2822</v>
      </c>
    </row>
    <row r="912" spans="2:2" x14ac:dyDescent="0.2">
      <c r="B912" s="2" t="s">
        <v>2823</v>
      </c>
    </row>
    <row r="913" spans="2:2" x14ac:dyDescent="0.2">
      <c r="B913" s="2" t="s">
        <v>2824</v>
      </c>
    </row>
    <row r="914" spans="2:2" x14ac:dyDescent="0.2">
      <c r="B914" s="2" t="s">
        <v>2825</v>
      </c>
    </row>
    <row r="915" spans="2:2" x14ac:dyDescent="0.2">
      <c r="B915" s="2" t="s">
        <v>2826</v>
      </c>
    </row>
    <row r="916" spans="2:2" x14ac:dyDescent="0.2">
      <c r="B916" s="2" t="s">
        <v>2827</v>
      </c>
    </row>
    <row r="917" spans="2:2" x14ac:dyDescent="0.2">
      <c r="B917" s="2" t="s">
        <v>2828</v>
      </c>
    </row>
    <row r="918" spans="2:2" x14ac:dyDescent="0.2">
      <c r="B918" s="2" t="s">
        <v>2829</v>
      </c>
    </row>
    <row r="919" spans="2:2" x14ac:dyDescent="0.2">
      <c r="B919" s="2" t="s">
        <v>2830</v>
      </c>
    </row>
    <row r="920" spans="2:2" x14ac:dyDescent="0.2">
      <c r="B920" s="2" t="s">
        <v>2831</v>
      </c>
    </row>
    <row r="921" spans="2:2" x14ac:dyDescent="0.2">
      <c r="B921" s="2" t="s">
        <v>2832</v>
      </c>
    </row>
    <row r="922" spans="2:2" x14ac:dyDescent="0.2">
      <c r="B922" s="2" t="s">
        <v>2833</v>
      </c>
    </row>
    <row r="923" spans="2:2" x14ac:dyDescent="0.2">
      <c r="B923" s="2" t="s">
        <v>2834</v>
      </c>
    </row>
    <row r="924" spans="2:2" x14ac:dyDescent="0.2">
      <c r="B924" s="2" t="s">
        <v>2835</v>
      </c>
    </row>
    <row r="925" spans="2:2" x14ac:dyDescent="0.2">
      <c r="B925" s="2" t="s">
        <v>2836</v>
      </c>
    </row>
    <row r="926" spans="2:2" x14ac:dyDescent="0.2">
      <c r="B926" s="2" t="s">
        <v>2837</v>
      </c>
    </row>
    <row r="927" spans="2:2" x14ac:dyDescent="0.2">
      <c r="B927" s="2" t="s">
        <v>2838</v>
      </c>
    </row>
    <row r="928" spans="2:2" x14ac:dyDescent="0.2">
      <c r="B928" s="2" t="s">
        <v>2839</v>
      </c>
    </row>
    <row r="929" spans="2:2" x14ac:dyDescent="0.2">
      <c r="B929" s="2" t="s">
        <v>2840</v>
      </c>
    </row>
    <row r="930" spans="2:2" x14ac:dyDescent="0.2">
      <c r="B930" s="2" t="s">
        <v>2841</v>
      </c>
    </row>
    <row r="931" spans="2:2" x14ac:dyDescent="0.2">
      <c r="B931" s="2" t="s">
        <v>2842</v>
      </c>
    </row>
    <row r="932" spans="2:2" x14ac:dyDescent="0.2">
      <c r="B932" s="2" t="s">
        <v>2843</v>
      </c>
    </row>
    <row r="933" spans="2:2" x14ac:dyDescent="0.2">
      <c r="B933" s="2" t="s">
        <v>2844</v>
      </c>
    </row>
    <row r="934" spans="2:2" x14ac:dyDescent="0.2">
      <c r="B934" s="2" t="s">
        <v>2845</v>
      </c>
    </row>
    <row r="935" spans="2:2" x14ac:dyDescent="0.2">
      <c r="B935" s="2" t="s">
        <v>2846</v>
      </c>
    </row>
    <row r="936" spans="2:2" x14ac:dyDescent="0.2">
      <c r="B936" s="2" t="s">
        <v>2847</v>
      </c>
    </row>
    <row r="937" spans="2:2" x14ac:dyDescent="0.2">
      <c r="B937" s="2" t="s">
        <v>2848</v>
      </c>
    </row>
    <row r="938" spans="2:2" x14ac:dyDescent="0.2">
      <c r="B938" s="2" t="s">
        <v>1502</v>
      </c>
    </row>
    <row r="939" spans="2:2" x14ac:dyDescent="0.2">
      <c r="B939" s="2" t="s">
        <v>1503</v>
      </c>
    </row>
    <row r="940" spans="2:2" x14ac:dyDescent="0.2">
      <c r="B940" s="2" t="s">
        <v>1504</v>
      </c>
    </row>
    <row r="941" spans="2:2" x14ac:dyDescent="0.2">
      <c r="B941" s="2" t="s">
        <v>1505</v>
      </c>
    </row>
    <row r="942" spans="2:2" x14ac:dyDescent="0.2">
      <c r="B942" s="2" t="s">
        <v>1506</v>
      </c>
    </row>
    <row r="943" spans="2:2" x14ac:dyDescent="0.2">
      <c r="B943" s="2" t="s">
        <v>1507</v>
      </c>
    </row>
    <row r="944" spans="2:2" x14ac:dyDescent="0.2">
      <c r="B944" s="2" t="s">
        <v>1508</v>
      </c>
    </row>
    <row r="945" spans="2:2" x14ac:dyDescent="0.2">
      <c r="B945" s="2" t="s">
        <v>1509</v>
      </c>
    </row>
    <row r="946" spans="2:2" x14ac:dyDescent="0.2">
      <c r="B946" s="2" t="s">
        <v>1510</v>
      </c>
    </row>
    <row r="947" spans="2:2" x14ac:dyDescent="0.2">
      <c r="B947" s="2" t="s">
        <v>1511</v>
      </c>
    </row>
    <row r="948" spans="2:2" x14ac:dyDescent="0.2">
      <c r="B948" s="2" t="s">
        <v>1512</v>
      </c>
    </row>
    <row r="949" spans="2:2" x14ac:dyDescent="0.2">
      <c r="B949" s="2" t="s">
        <v>1513</v>
      </c>
    </row>
    <row r="950" spans="2:2" x14ac:dyDescent="0.2">
      <c r="B950" s="2" t="s">
        <v>1514</v>
      </c>
    </row>
    <row r="951" spans="2:2" x14ac:dyDescent="0.2">
      <c r="B951" s="2" t="s">
        <v>1515</v>
      </c>
    </row>
    <row r="952" spans="2:2" x14ac:dyDescent="0.2">
      <c r="B952" s="2" t="s">
        <v>1516</v>
      </c>
    </row>
    <row r="953" spans="2:2" x14ac:dyDescent="0.2">
      <c r="B953" s="2" t="s">
        <v>1517</v>
      </c>
    </row>
    <row r="954" spans="2:2" x14ac:dyDescent="0.2">
      <c r="B954" s="2" t="s">
        <v>1518</v>
      </c>
    </row>
    <row r="955" spans="2:2" x14ac:dyDescent="0.2">
      <c r="B955" s="2" t="s">
        <v>1519</v>
      </c>
    </row>
    <row r="956" spans="2:2" x14ac:dyDescent="0.2">
      <c r="B956" s="2" t="s">
        <v>1520</v>
      </c>
    </row>
    <row r="957" spans="2:2" x14ac:dyDescent="0.2">
      <c r="B957" s="2" t="s">
        <v>1521</v>
      </c>
    </row>
    <row r="958" spans="2:2" x14ac:dyDescent="0.2">
      <c r="B958" s="2" t="s">
        <v>1522</v>
      </c>
    </row>
    <row r="959" spans="2:2" x14ac:dyDescent="0.2">
      <c r="B959" s="2" t="s">
        <v>1523</v>
      </c>
    </row>
    <row r="960" spans="2:2" x14ac:dyDescent="0.2">
      <c r="B960" s="2" t="s">
        <v>1524</v>
      </c>
    </row>
    <row r="961" spans="2:2" x14ac:dyDescent="0.2">
      <c r="B961" s="2" t="s">
        <v>1525</v>
      </c>
    </row>
    <row r="962" spans="2:2" x14ac:dyDescent="0.2">
      <c r="B962" s="2" t="s">
        <v>1526</v>
      </c>
    </row>
    <row r="963" spans="2:2" x14ac:dyDescent="0.2">
      <c r="B963" s="2" t="s">
        <v>1527</v>
      </c>
    </row>
    <row r="964" spans="2:2" x14ac:dyDescent="0.2">
      <c r="B964" s="2" t="s">
        <v>1528</v>
      </c>
    </row>
    <row r="965" spans="2:2" x14ac:dyDescent="0.2">
      <c r="B965" s="2" t="s">
        <v>1529</v>
      </c>
    </row>
    <row r="966" spans="2:2" x14ac:dyDescent="0.2">
      <c r="B966" s="2" t="s">
        <v>1530</v>
      </c>
    </row>
    <row r="967" spans="2:2" x14ac:dyDescent="0.2">
      <c r="B967" s="2" t="s">
        <v>1531</v>
      </c>
    </row>
    <row r="968" spans="2:2" x14ac:dyDescent="0.2">
      <c r="B968" s="2" t="s">
        <v>1532</v>
      </c>
    </row>
    <row r="969" spans="2:2" x14ac:dyDescent="0.2">
      <c r="B969" s="2" t="s">
        <v>1533</v>
      </c>
    </row>
    <row r="970" spans="2:2" x14ac:dyDescent="0.2">
      <c r="B970" s="2" t="s">
        <v>1534</v>
      </c>
    </row>
    <row r="971" spans="2:2" x14ac:dyDescent="0.2">
      <c r="B971" s="2" t="s">
        <v>1535</v>
      </c>
    </row>
    <row r="972" spans="2:2" x14ac:dyDescent="0.2">
      <c r="B972" s="2" t="s">
        <v>1536</v>
      </c>
    </row>
    <row r="973" spans="2:2" x14ac:dyDescent="0.2">
      <c r="B973" s="2" t="s">
        <v>1537</v>
      </c>
    </row>
    <row r="974" spans="2:2" x14ac:dyDescent="0.2">
      <c r="B974" s="2" t="s">
        <v>1538</v>
      </c>
    </row>
    <row r="975" spans="2:2" x14ac:dyDescent="0.2">
      <c r="B975" s="2" t="s">
        <v>1539</v>
      </c>
    </row>
    <row r="976" spans="2:2" x14ac:dyDescent="0.2">
      <c r="B976" s="2" t="s">
        <v>1540</v>
      </c>
    </row>
    <row r="977" spans="2:2" x14ac:dyDescent="0.2">
      <c r="B977" s="2" t="s">
        <v>1749</v>
      </c>
    </row>
    <row r="978" spans="2:2" x14ac:dyDescent="0.2">
      <c r="B978" s="2" t="s">
        <v>1750</v>
      </c>
    </row>
    <row r="979" spans="2:2" x14ac:dyDescent="0.2">
      <c r="B979" s="2" t="s">
        <v>1751</v>
      </c>
    </row>
    <row r="980" spans="2:2" x14ac:dyDescent="0.2">
      <c r="B980" s="2" t="s">
        <v>1752</v>
      </c>
    </row>
    <row r="981" spans="2:2" x14ac:dyDescent="0.2">
      <c r="B981" s="2" t="s">
        <v>1753</v>
      </c>
    </row>
    <row r="982" spans="2:2" x14ac:dyDescent="0.2">
      <c r="B982" s="2" t="s">
        <v>1754</v>
      </c>
    </row>
    <row r="983" spans="2:2" x14ac:dyDescent="0.2">
      <c r="B983" s="2" t="s">
        <v>1755</v>
      </c>
    </row>
    <row r="984" spans="2:2" x14ac:dyDescent="0.2">
      <c r="B984" s="2" t="s">
        <v>1756</v>
      </c>
    </row>
    <row r="985" spans="2:2" x14ac:dyDescent="0.2">
      <c r="B985" s="2" t="s">
        <v>1757</v>
      </c>
    </row>
    <row r="986" spans="2:2" x14ac:dyDescent="0.2">
      <c r="B986" s="2" t="s">
        <v>1758</v>
      </c>
    </row>
    <row r="987" spans="2:2" x14ac:dyDescent="0.2">
      <c r="B987" s="2" t="s">
        <v>1759</v>
      </c>
    </row>
    <row r="988" spans="2:2" x14ac:dyDescent="0.2">
      <c r="B988" s="2" t="s">
        <v>1760</v>
      </c>
    </row>
    <row r="989" spans="2:2" x14ac:dyDescent="0.2">
      <c r="B989" s="2" t="s">
        <v>1761</v>
      </c>
    </row>
    <row r="990" spans="2:2" x14ac:dyDescent="0.2">
      <c r="B990" s="2" t="s">
        <v>1762</v>
      </c>
    </row>
    <row r="991" spans="2:2" x14ac:dyDescent="0.2">
      <c r="B991" s="2" t="s">
        <v>1763</v>
      </c>
    </row>
    <row r="992" spans="2:2" x14ac:dyDescent="0.2">
      <c r="B992" s="2" t="s">
        <v>1764</v>
      </c>
    </row>
    <row r="993" spans="2:2" x14ac:dyDescent="0.2">
      <c r="B993" s="2" t="s">
        <v>1765</v>
      </c>
    </row>
    <row r="994" spans="2:2" x14ac:dyDescent="0.2">
      <c r="B994" s="2" t="s">
        <v>1766</v>
      </c>
    </row>
    <row r="995" spans="2:2" x14ac:dyDescent="0.2">
      <c r="B995" s="2" t="s">
        <v>1767</v>
      </c>
    </row>
    <row r="996" spans="2:2" x14ac:dyDescent="0.2">
      <c r="B996" s="2" t="s">
        <v>1768</v>
      </c>
    </row>
    <row r="997" spans="2:2" x14ac:dyDescent="0.2">
      <c r="B997" s="2" t="s">
        <v>1769</v>
      </c>
    </row>
    <row r="998" spans="2:2" x14ac:dyDescent="0.2">
      <c r="B998" s="2" t="s">
        <v>1770</v>
      </c>
    </row>
    <row r="999" spans="2:2" x14ac:dyDescent="0.2">
      <c r="B999" s="2" t="s">
        <v>1771</v>
      </c>
    </row>
    <row r="1000" spans="2:2" x14ac:dyDescent="0.2">
      <c r="B1000" s="2" t="s">
        <v>1772</v>
      </c>
    </row>
    <row r="1001" spans="2:2" x14ac:dyDescent="0.2">
      <c r="B1001" s="2" t="s">
        <v>1773</v>
      </c>
    </row>
    <row r="1002" spans="2:2" x14ac:dyDescent="0.2">
      <c r="B1002" s="2" t="s">
        <v>1774</v>
      </c>
    </row>
    <row r="1003" spans="2:2" x14ac:dyDescent="0.2">
      <c r="B1003" s="2" t="s">
        <v>1775</v>
      </c>
    </row>
    <row r="1004" spans="2:2" x14ac:dyDescent="0.2">
      <c r="B1004" s="2" t="s">
        <v>1776</v>
      </c>
    </row>
    <row r="1005" spans="2:2" x14ac:dyDescent="0.2">
      <c r="B1005" s="2" t="s">
        <v>1777</v>
      </c>
    </row>
    <row r="1006" spans="2:2" x14ac:dyDescent="0.2">
      <c r="B1006" s="2" t="s">
        <v>1778</v>
      </c>
    </row>
    <row r="1007" spans="2:2" x14ac:dyDescent="0.2">
      <c r="B1007" s="2" t="s">
        <v>1779</v>
      </c>
    </row>
    <row r="1008" spans="2:2" x14ac:dyDescent="0.2">
      <c r="B1008" s="2" t="s">
        <v>1780</v>
      </c>
    </row>
    <row r="1009" spans="2:2" x14ac:dyDescent="0.2">
      <c r="B1009" s="2" t="s">
        <v>1781</v>
      </c>
    </row>
    <row r="1010" spans="2:2" x14ac:dyDescent="0.2">
      <c r="B1010" s="2" t="s">
        <v>1782</v>
      </c>
    </row>
    <row r="1011" spans="2:2" x14ac:dyDescent="0.2">
      <c r="B1011" s="2" t="s">
        <v>1783</v>
      </c>
    </row>
    <row r="1012" spans="2:2" x14ac:dyDescent="0.2">
      <c r="B1012" s="2" t="s">
        <v>1784</v>
      </c>
    </row>
    <row r="1013" spans="2:2" x14ac:dyDescent="0.2">
      <c r="B1013" s="2" t="s">
        <v>1785</v>
      </c>
    </row>
    <row r="1014" spans="2:2" x14ac:dyDescent="0.2">
      <c r="B1014" s="2" t="s">
        <v>1786</v>
      </c>
    </row>
    <row r="1015" spans="2:2" x14ac:dyDescent="0.2">
      <c r="B1015" s="2" t="s">
        <v>1787</v>
      </c>
    </row>
    <row r="1016" spans="2:2" x14ac:dyDescent="0.2">
      <c r="B1016" s="2" t="s">
        <v>1788</v>
      </c>
    </row>
    <row r="1017" spans="2:2" x14ac:dyDescent="0.2">
      <c r="B1017" s="2" t="s">
        <v>1789</v>
      </c>
    </row>
    <row r="1018" spans="2:2" x14ac:dyDescent="0.2">
      <c r="B1018" s="2" t="s">
        <v>1790</v>
      </c>
    </row>
    <row r="1019" spans="2:2" x14ac:dyDescent="0.2">
      <c r="B1019" s="2" t="s">
        <v>1791</v>
      </c>
    </row>
    <row r="1020" spans="2:2" x14ac:dyDescent="0.2">
      <c r="B1020" s="2" t="s">
        <v>1792</v>
      </c>
    </row>
    <row r="1021" spans="2:2" x14ac:dyDescent="0.2">
      <c r="B1021" s="2" t="s">
        <v>1793</v>
      </c>
    </row>
    <row r="1022" spans="2:2" x14ac:dyDescent="0.2">
      <c r="B1022" s="2" t="s">
        <v>1794</v>
      </c>
    </row>
    <row r="1023" spans="2:2" x14ac:dyDescent="0.2">
      <c r="B1023" s="2" t="s">
        <v>1795</v>
      </c>
    </row>
    <row r="1024" spans="2:2" x14ac:dyDescent="0.2">
      <c r="B1024" s="2" t="s">
        <v>1796</v>
      </c>
    </row>
    <row r="1025" spans="2:2" x14ac:dyDescent="0.2">
      <c r="B1025" s="2" t="s">
        <v>1797</v>
      </c>
    </row>
    <row r="1026" spans="2:2" x14ac:dyDescent="0.2">
      <c r="B1026" s="2" t="s">
        <v>1798</v>
      </c>
    </row>
    <row r="1027" spans="2:2" x14ac:dyDescent="0.2">
      <c r="B1027" s="2" t="s">
        <v>1799</v>
      </c>
    </row>
    <row r="1028" spans="2:2" x14ac:dyDescent="0.2">
      <c r="B1028" s="2" t="s">
        <v>1800</v>
      </c>
    </row>
    <row r="1029" spans="2:2" x14ac:dyDescent="0.2">
      <c r="B1029" s="2" t="s">
        <v>1801</v>
      </c>
    </row>
    <row r="1030" spans="2:2" x14ac:dyDescent="0.2">
      <c r="B1030" s="2" t="s">
        <v>1802</v>
      </c>
    </row>
    <row r="1031" spans="2:2" x14ac:dyDescent="0.2">
      <c r="B1031" s="2" t="s">
        <v>1803</v>
      </c>
    </row>
    <row r="1032" spans="2:2" x14ac:dyDescent="0.2">
      <c r="B1032" s="2" t="s">
        <v>1804</v>
      </c>
    </row>
    <row r="1033" spans="2:2" x14ac:dyDescent="0.2">
      <c r="B1033" s="2" t="s">
        <v>1805</v>
      </c>
    </row>
    <row r="1034" spans="2:2" x14ac:dyDescent="0.2">
      <c r="B1034" s="2" t="s">
        <v>1806</v>
      </c>
    </row>
    <row r="1035" spans="2:2" x14ac:dyDescent="0.2">
      <c r="B1035" s="2" t="s">
        <v>1807</v>
      </c>
    </row>
    <row r="1036" spans="2:2" x14ac:dyDescent="0.2">
      <c r="B1036" s="2" t="s">
        <v>1808</v>
      </c>
    </row>
    <row r="1037" spans="2:2" x14ac:dyDescent="0.2">
      <c r="B1037" s="2" t="s">
        <v>1809</v>
      </c>
    </row>
    <row r="1038" spans="2:2" x14ac:dyDescent="0.2">
      <c r="B1038" s="2" t="s">
        <v>1810</v>
      </c>
    </row>
    <row r="1039" spans="2:2" x14ac:dyDescent="0.2">
      <c r="B1039" s="2" t="s">
        <v>1811</v>
      </c>
    </row>
    <row r="1040" spans="2:2" x14ac:dyDescent="0.2">
      <c r="B1040" s="2" t="s">
        <v>1812</v>
      </c>
    </row>
    <row r="1041" spans="2:11" x14ac:dyDescent="0.2">
      <c r="B1041" s="2" t="s">
        <v>1813</v>
      </c>
    </row>
    <row r="1042" spans="2:11" x14ac:dyDescent="0.2">
      <c r="B1042" s="2" t="s">
        <v>1814</v>
      </c>
    </row>
    <row r="1043" spans="2:11" x14ac:dyDescent="0.2">
      <c r="B1043" s="2" t="s">
        <v>1815</v>
      </c>
    </row>
    <row r="1044" spans="2:11" x14ac:dyDescent="0.2">
      <c r="B1044" s="2" t="s">
        <v>1816</v>
      </c>
    </row>
    <row r="1045" spans="2:11" x14ac:dyDescent="0.2">
      <c r="B1045" s="2" t="s">
        <v>1817</v>
      </c>
      <c r="K1045" s="2">
        <v>1105</v>
      </c>
    </row>
    <row r="1046" spans="2:11" x14ac:dyDescent="0.2">
      <c r="B1046" s="2" t="s">
        <v>1818</v>
      </c>
    </row>
    <row r="1047" spans="2:11" x14ac:dyDescent="0.2">
      <c r="B1047" s="2" t="s">
        <v>1819</v>
      </c>
    </row>
    <row r="1048" spans="2:11" x14ac:dyDescent="0.2">
      <c r="B1048" s="2" t="s">
        <v>1820</v>
      </c>
    </row>
    <row r="1049" spans="2:11" x14ac:dyDescent="0.2">
      <c r="B1049" s="2" t="s">
        <v>1821</v>
      </c>
    </row>
    <row r="1050" spans="2:11" x14ac:dyDescent="0.2">
      <c r="B1050" s="2" t="s">
        <v>1822</v>
      </c>
    </row>
    <row r="1051" spans="2:11" x14ac:dyDescent="0.2">
      <c r="B1051" s="2" t="s">
        <v>1823</v>
      </c>
    </row>
    <row r="1052" spans="2:11" x14ac:dyDescent="0.2">
      <c r="B1052" s="2" t="s">
        <v>1824</v>
      </c>
    </row>
    <row r="1053" spans="2:11" x14ac:dyDescent="0.2">
      <c r="B1053" s="2" t="s">
        <v>1825</v>
      </c>
    </row>
    <row r="1054" spans="2:11" x14ac:dyDescent="0.2">
      <c r="B1054" s="2" t="s">
        <v>1826</v>
      </c>
    </row>
    <row r="1055" spans="2:11" x14ac:dyDescent="0.2">
      <c r="B1055" s="2" t="s">
        <v>1827</v>
      </c>
    </row>
    <row r="1056" spans="2:11" x14ac:dyDescent="0.2">
      <c r="B1056" s="2" t="s">
        <v>1828</v>
      </c>
    </row>
    <row r="1057" spans="2:2" x14ac:dyDescent="0.2">
      <c r="B1057" s="2" t="s">
        <v>1829</v>
      </c>
    </row>
    <row r="1058" spans="2:2" x14ac:dyDescent="0.2">
      <c r="B1058" s="2" t="s">
        <v>1830</v>
      </c>
    </row>
    <row r="1059" spans="2:2" x14ac:dyDescent="0.2">
      <c r="B1059" s="2" t="s">
        <v>1831</v>
      </c>
    </row>
    <row r="1060" spans="2:2" x14ac:dyDescent="0.2">
      <c r="B1060" s="2" t="s">
        <v>1832</v>
      </c>
    </row>
    <row r="1061" spans="2:2" x14ac:dyDescent="0.2">
      <c r="B1061" s="2" t="s">
        <v>1833</v>
      </c>
    </row>
    <row r="1062" spans="2:2" x14ac:dyDescent="0.2">
      <c r="B1062" s="2" t="s">
        <v>1834</v>
      </c>
    </row>
    <row r="1063" spans="2:2" x14ac:dyDescent="0.2">
      <c r="B1063" s="2" t="s">
        <v>1835</v>
      </c>
    </row>
    <row r="1064" spans="2:2" x14ac:dyDescent="0.2">
      <c r="B1064" s="2" t="s">
        <v>1836</v>
      </c>
    </row>
    <row r="1065" spans="2:2" x14ac:dyDescent="0.2">
      <c r="B1065" s="2" t="s">
        <v>1837</v>
      </c>
    </row>
    <row r="1066" spans="2:2" x14ac:dyDescent="0.2">
      <c r="B1066" s="2" t="s">
        <v>1838</v>
      </c>
    </row>
    <row r="1067" spans="2:2" x14ac:dyDescent="0.2">
      <c r="B1067" s="2" t="s">
        <v>1839</v>
      </c>
    </row>
    <row r="1068" spans="2:2" x14ac:dyDescent="0.2">
      <c r="B1068" s="2" t="s">
        <v>1840</v>
      </c>
    </row>
    <row r="1069" spans="2:2" x14ac:dyDescent="0.2">
      <c r="B1069" s="2" t="s">
        <v>1841</v>
      </c>
    </row>
    <row r="1070" spans="2:2" x14ac:dyDescent="0.2">
      <c r="B1070" s="2" t="s">
        <v>1842</v>
      </c>
    </row>
    <row r="1071" spans="2:2" x14ac:dyDescent="0.2">
      <c r="B1071" s="2" t="s">
        <v>1843</v>
      </c>
    </row>
    <row r="1072" spans="2:2" x14ac:dyDescent="0.2">
      <c r="B1072" s="2" t="s">
        <v>1844</v>
      </c>
    </row>
    <row r="1073" spans="2:2" x14ac:dyDescent="0.2">
      <c r="B1073" s="2" t="s">
        <v>1845</v>
      </c>
    </row>
    <row r="1074" spans="2:2" x14ac:dyDescent="0.2">
      <c r="B1074" s="2" t="s">
        <v>1846</v>
      </c>
    </row>
    <row r="1075" spans="2:2" x14ac:dyDescent="0.2">
      <c r="B1075" s="2" t="s">
        <v>1847</v>
      </c>
    </row>
    <row r="1076" spans="2:2" x14ac:dyDescent="0.2">
      <c r="B1076" s="2" t="s">
        <v>1848</v>
      </c>
    </row>
    <row r="1077" spans="2:2" x14ac:dyDescent="0.2">
      <c r="B1077" s="2" t="s">
        <v>1849</v>
      </c>
    </row>
    <row r="1078" spans="2:2" x14ac:dyDescent="0.2">
      <c r="B1078" s="2" t="s">
        <v>1850</v>
      </c>
    </row>
    <row r="1079" spans="2:2" x14ac:dyDescent="0.2">
      <c r="B1079" s="2" t="s">
        <v>1851</v>
      </c>
    </row>
    <row r="1080" spans="2:2" x14ac:dyDescent="0.2">
      <c r="B1080" s="2" t="s">
        <v>1852</v>
      </c>
    </row>
    <row r="1081" spans="2:2" x14ac:dyDescent="0.2">
      <c r="B1081" s="2" t="s">
        <v>1853</v>
      </c>
    </row>
    <row r="1082" spans="2:2" x14ac:dyDescent="0.2">
      <c r="B1082" s="2" t="s">
        <v>1854</v>
      </c>
    </row>
    <row r="1083" spans="2:2" x14ac:dyDescent="0.2">
      <c r="B1083" s="2" t="s">
        <v>1855</v>
      </c>
    </row>
    <row r="1084" spans="2:2" x14ac:dyDescent="0.2">
      <c r="B1084" s="2" t="s">
        <v>1856</v>
      </c>
    </row>
    <row r="1085" spans="2:2" x14ac:dyDescent="0.2">
      <c r="B1085" s="2" t="s">
        <v>1857</v>
      </c>
    </row>
    <row r="1086" spans="2:2" x14ac:dyDescent="0.2">
      <c r="B1086" s="2" t="s">
        <v>1858</v>
      </c>
    </row>
    <row r="1087" spans="2:2" x14ac:dyDescent="0.2">
      <c r="B1087" s="2" t="s">
        <v>1859</v>
      </c>
    </row>
    <row r="1088" spans="2:2" x14ac:dyDescent="0.2">
      <c r="B1088" s="2" t="s">
        <v>1860</v>
      </c>
    </row>
    <row r="1089" spans="2:2" x14ac:dyDescent="0.2">
      <c r="B1089" s="2" t="s">
        <v>1861</v>
      </c>
    </row>
    <row r="1090" spans="2:2" x14ac:dyDescent="0.2">
      <c r="B1090" s="2" t="s">
        <v>1862</v>
      </c>
    </row>
    <row r="1091" spans="2:2" x14ac:dyDescent="0.2">
      <c r="B1091" s="2" t="s">
        <v>1863</v>
      </c>
    </row>
    <row r="1092" spans="2:2" x14ac:dyDescent="0.2">
      <c r="B1092" s="2" t="s">
        <v>1864</v>
      </c>
    </row>
    <row r="1093" spans="2:2" x14ac:dyDescent="0.2">
      <c r="B1093" s="2" t="s">
        <v>1865</v>
      </c>
    </row>
    <row r="1094" spans="2:2" x14ac:dyDescent="0.2">
      <c r="B1094" s="2" t="s">
        <v>1866</v>
      </c>
    </row>
    <row r="1095" spans="2:2" x14ac:dyDescent="0.2">
      <c r="B1095" s="2" t="s">
        <v>1867</v>
      </c>
    </row>
    <row r="1096" spans="2:2" x14ac:dyDescent="0.2">
      <c r="B1096" s="2" t="s">
        <v>1868</v>
      </c>
    </row>
    <row r="1097" spans="2:2" x14ac:dyDescent="0.2">
      <c r="B1097" s="2" t="s">
        <v>1869</v>
      </c>
    </row>
    <row r="1098" spans="2:2" x14ac:dyDescent="0.2">
      <c r="B1098" s="2" t="s">
        <v>1870</v>
      </c>
    </row>
    <row r="1099" spans="2:2" x14ac:dyDescent="0.2">
      <c r="B1099" s="2" t="s">
        <v>1871</v>
      </c>
    </row>
    <row r="1100" spans="2:2" x14ac:dyDescent="0.2">
      <c r="B1100" s="2" t="s">
        <v>1872</v>
      </c>
    </row>
    <row r="1101" spans="2:2" x14ac:dyDescent="0.2">
      <c r="B1101" s="2" t="s">
        <v>1873</v>
      </c>
    </row>
    <row r="1102" spans="2:2" x14ac:dyDescent="0.2">
      <c r="B1102" s="2" t="s">
        <v>1874</v>
      </c>
    </row>
    <row r="1103" spans="2:2" x14ac:dyDescent="0.2">
      <c r="B1103" s="2" t="s">
        <v>1875</v>
      </c>
    </row>
    <row r="1104" spans="2:2" x14ac:dyDescent="0.2">
      <c r="B1104" s="2" t="s">
        <v>1876</v>
      </c>
    </row>
    <row r="1105" spans="2:2" x14ac:dyDescent="0.2">
      <c r="B1105" s="2" t="s">
        <v>1877</v>
      </c>
    </row>
    <row r="1106" spans="2:2" x14ac:dyDescent="0.2">
      <c r="B1106" s="2" t="s">
        <v>1878</v>
      </c>
    </row>
    <row r="1107" spans="2:2" x14ac:dyDescent="0.2">
      <c r="B1107" s="2" t="s">
        <v>1879</v>
      </c>
    </row>
    <row r="1108" spans="2:2" x14ac:dyDescent="0.2">
      <c r="B1108" s="2" t="s">
        <v>1880</v>
      </c>
    </row>
    <row r="1109" spans="2:2" x14ac:dyDescent="0.2">
      <c r="B1109" s="2" t="s">
        <v>1881</v>
      </c>
    </row>
    <row r="1110" spans="2:2" x14ac:dyDescent="0.2">
      <c r="B1110" s="2" t="s">
        <v>1882</v>
      </c>
    </row>
    <row r="1111" spans="2:2" x14ac:dyDescent="0.2">
      <c r="B1111" s="2" t="s">
        <v>1883</v>
      </c>
    </row>
    <row r="1112" spans="2:2" x14ac:dyDescent="0.2">
      <c r="B1112" s="2" t="s">
        <v>1884</v>
      </c>
    </row>
    <row r="1113" spans="2:2" x14ac:dyDescent="0.2">
      <c r="B1113" s="2" t="s">
        <v>1885</v>
      </c>
    </row>
    <row r="1114" spans="2:2" x14ac:dyDescent="0.2">
      <c r="B1114" s="2" t="s">
        <v>1886</v>
      </c>
    </row>
    <row r="1115" spans="2:2" x14ac:dyDescent="0.2">
      <c r="B1115" s="2" t="s">
        <v>1887</v>
      </c>
    </row>
    <row r="1116" spans="2:2" x14ac:dyDescent="0.2">
      <c r="B1116" s="2" t="s">
        <v>1888</v>
      </c>
    </row>
    <row r="1117" spans="2:2" x14ac:dyDescent="0.2">
      <c r="B1117" s="2" t="s">
        <v>1889</v>
      </c>
    </row>
    <row r="1118" spans="2:2" x14ac:dyDescent="0.2">
      <c r="B1118" s="2" t="s">
        <v>1890</v>
      </c>
    </row>
    <row r="1119" spans="2:2" x14ac:dyDescent="0.2">
      <c r="B1119" s="2" t="s">
        <v>1891</v>
      </c>
    </row>
    <row r="1120" spans="2:2" x14ac:dyDescent="0.2">
      <c r="B1120" s="2" t="s">
        <v>1892</v>
      </c>
    </row>
    <row r="1121" spans="2:2" x14ac:dyDescent="0.2">
      <c r="B1121" s="2" t="s">
        <v>1893</v>
      </c>
    </row>
    <row r="1122" spans="2:2" x14ac:dyDescent="0.2">
      <c r="B1122" s="2" t="s">
        <v>1894</v>
      </c>
    </row>
    <row r="1123" spans="2:2" x14ac:dyDescent="0.2">
      <c r="B1123" s="2" t="s">
        <v>1895</v>
      </c>
    </row>
    <row r="1124" spans="2:2" x14ac:dyDescent="0.2">
      <c r="B1124" s="2" t="s">
        <v>1896</v>
      </c>
    </row>
    <row r="1125" spans="2:2" x14ac:dyDescent="0.2">
      <c r="B1125" s="2" t="s">
        <v>1897</v>
      </c>
    </row>
    <row r="1126" spans="2:2" x14ac:dyDescent="0.2">
      <c r="B1126" s="2" t="s">
        <v>1898</v>
      </c>
    </row>
    <row r="1127" spans="2:2" x14ac:dyDescent="0.2">
      <c r="B1127" s="2" t="s">
        <v>1899</v>
      </c>
    </row>
    <row r="1128" spans="2:2" x14ac:dyDescent="0.2">
      <c r="B1128" s="2" t="s">
        <v>1900</v>
      </c>
    </row>
    <row r="1129" spans="2:2" x14ac:dyDescent="0.2">
      <c r="B1129" s="2" t="s">
        <v>1901</v>
      </c>
    </row>
    <row r="1130" spans="2:2" x14ac:dyDescent="0.2">
      <c r="B1130" s="2" t="s">
        <v>1902</v>
      </c>
    </row>
    <row r="1131" spans="2:2" x14ac:dyDescent="0.2">
      <c r="B1131" s="2" t="s">
        <v>1903</v>
      </c>
    </row>
    <row r="1132" spans="2:2" x14ac:dyDescent="0.2">
      <c r="B1132" s="2" t="s">
        <v>1904</v>
      </c>
    </row>
    <row r="1133" spans="2:2" x14ac:dyDescent="0.2">
      <c r="B1133" s="2" t="s">
        <v>1905</v>
      </c>
    </row>
    <row r="1134" spans="2:2" x14ac:dyDescent="0.2">
      <c r="B1134" s="2" t="s">
        <v>1906</v>
      </c>
    </row>
    <row r="1135" spans="2:2" x14ac:dyDescent="0.2">
      <c r="B1135" s="2" t="s">
        <v>1907</v>
      </c>
    </row>
    <row r="1136" spans="2:2" x14ac:dyDescent="0.2">
      <c r="B1136" s="2" t="s">
        <v>1908</v>
      </c>
    </row>
    <row r="1137" spans="2:2" x14ac:dyDescent="0.2">
      <c r="B1137" s="2" t="s">
        <v>1909</v>
      </c>
    </row>
    <row r="1138" spans="2:2" x14ac:dyDescent="0.2">
      <c r="B1138" s="2" t="s">
        <v>1910</v>
      </c>
    </row>
    <row r="1139" spans="2:2" x14ac:dyDescent="0.2">
      <c r="B1139" s="2" t="s">
        <v>1911</v>
      </c>
    </row>
    <row r="1140" spans="2:2" x14ac:dyDescent="0.2">
      <c r="B1140" s="2" t="s">
        <v>1912</v>
      </c>
    </row>
    <row r="1141" spans="2:2" x14ac:dyDescent="0.2">
      <c r="B1141" s="2" t="s">
        <v>1913</v>
      </c>
    </row>
    <row r="1142" spans="2:2" x14ac:dyDescent="0.2">
      <c r="B1142" s="2" t="s">
        <v>1914</v>
      </c>
    </row>
    <row r="1143" spans="2:2" x14ac:dyDescent="0.2">
      <c r="B1143" s="2" t="s">
        <v>1915</v>
      </c>
    </row>
    <row r="1144" spans="2:2" x14ac:dyDescent="0.2">
      <c r="B1144" s="2" t="s">
        <v>1916</v>
      </c>
    </row>
    <row r="1145" spans="2:2" x14ac:dyDescent="0.2">
      <c r="B1145" s="2" t="s">
        <v>1917</v>
      </c>
    </row>
    <row r="1146" spans="2:2" x14ac:dyDescent="0.2">
      <c r="B1146" s="2" t="s">
        <v>1918</v>
      </c>
    </row>
    <row r="1147" spans="2:2" x14ac:dyDescent="0.2">
      <c r="B1147" s="2" t="s">
        <v>1919</v>
      </c>
    </row>
    <row r="1148" spans="2:2" x14ac:dyDescent="0.2">
      <c r="B1148" s="2" t="s">
        <v>1920</v>
      </c>
    </row>
    <row r="1149" spans="2:2" x14ac:dyDescent="0.2">
      <c r="B1149" s="2" t="s">
        <v>1921</v>
      </c>
    </row>
    <row r="1150" spans="2:2" x14ac:dyDescent="0.2">
      <c r="B1150" s="2" t="s">
        <v>1922</v>
      </c>
    </row>
    <row r="1151" spans="2:2" x14ac:dyDescent="0.2">
      <c r="B1151" s="2" t="s">
        <v>1923</v>
      </c>
    </row>
    <row r="1152" spans="2:2" x14ac:dyDescent="0.2">
      <c r="B1152" s="2" t="s">
        <v>1924</v>
      </c>
    </row>
    <row r="1153" spans="2:2" x14ac:dyDescent="0.2">
      <c r="B1153" s="2" t="s">
        <v>1925</v>
      </c>
    </row>
    <row r="1154" spans="2:2" x14ac:dyDescent="0.2">
      <c r="B1154" s="2" t="s">
        <v>1926</v>
      </c>
    </row>
    <row r="1155" spans="2:2" x14ac:dyDescent="0.2">
      <c r="B1155" s="2" t="s">
        <v>1927</v>
      </c>
    </row>
    <row r="1156" spans="2:2" x14ac:dyDescent="0.2">
      <c r="B1156" s="2" t="s">
        <v>1928</v>
      </c>
    </row>
    <row r="1157" spans="2:2" x14ac:dyDescent="0.2">
      <c r="B1157" s="2" t="s">
        <v>1929</v>
      </c>
    </row>
    <row r="1158" spans="2:2" x14ac:dyDescent="0.2">
      <c r="B1158" s="2" t="s">
        <v>1930</v>
      </c>
    </row>
    <row r="1159" spans="2:2" x14ac:dyDescent="0.2">
      <c r="B1159" s="2" t="s">
        <v>1931</v>
      </c>
    </row>
    <row r="1160" spans="2:2" x14ac:dyDescent="0.2">
      <c r="B1160" s="2" t="s">
        <v>1932</v>
      </c>
    </row>
    <row r="1161" spans="2:2" x14ac:dyDescent="0.2">
      <c r="B1161" s="2" t="s">
        <v>1933</v>
      </c>
    </row>
    <row r="1162" spans="2:2" x14ac:dyDescent="0.2">
      <c r="B1162" s="2" t="s">
        <v>1934</v>
      </c>
    </row>
    <row r="1163" spans="2:2" x14ac:dyDescent="0.2">
      <c r="B1163" s="2" t="s">
        <v>1935</v>
      </c>
    </row>
    <row r="1164" spans="2:2" x14ac:dyDescent="0.2">
      <c r="B1164" s="2" t="s">
        <v>1936</v>
      </c>
    </row>
    <row r="1165" spans="2:2" x14ac:dyDescent="0.2">
      <c r="B1165" s="2" t="s">
        <v>1937</v>
      </c>
    </row>
    <row r="1166" spans="2:2" x14ac:dyDescent="0.2">
      <c r="B1166" s="2" t="s">
        <v>1938</v>
      </c>
    </row>
    <row r="1167" spans="2:2" x14ac:dyDescent="0.2">
      <c r="B1167" s="2" t="s">
        <v>1939</v>
      </c>
    </row>
    <row r="1168" spans="2:2" x14ac:dyDescent="0.2">
      <c r="B1168" s="2" t="s">
        <v>1940</v>
      </c>
    </row>
    <row r="1169" spans="2:2" x14ac:dyDescent="0.2">
      <c r="B1169" s="2" t="s">
        <v>1941</v>
      </c>
    </row>
    <row r="1170" spans="2:2" x14ac:dyDescent="0.2">
      <c r="B1170" s="2" t="s">
        <v>1942</v>
      </c>
    </row>
    <row r="1171" spans="2:2" x14ac:dyDescent="0.2">
      <c r="B1171" s="2" t="s">
        <v>1943</v>
      </c>
    </row>
    <row r="1172" spans="2:2" x14ac:dyDescent="0.2">
      <c r="B1172" s="2" t="s">
        <v>1944</v>
      </c>
    </row>
    <row r="1173" spans="2:2" x14ac:dyDescent="0.2">
      <c r="B1173" s="2" t="s">
        <v>1945</v>
      </c>
    </row>
    <row r="1174" spans="2:2" x14ac:dyDescent="0.2">
      <c r="B1174" s="2" t="s">
        <v>1946</v>
      </c>
    </row>
    <row r="1175" spans="2:2" x14ac:dyDescent="0.2">
      <c r="B1175" s="2" t="s">
        <v>1947</v>
      </c>
    </row>
    <row r="1176" spans="2:2" x14ac:dyDescent="0.2">
      <c r="B1176" s="2" t="s">
        <v>1948</v>
      </c>
    </row>
    <row r="1177" spans="2:2" x14ac:dyDescent="0.2">
      <c r="B1177" s="2" t="s">
        <v>1949</v>
      </c>
    </row>
    <row r="1178" spans="2:2" x14ac:dyDescent="0.2">
      <c r="B1178" s="2" t="s">
        <v>1950</v>
      </c>
    </row>
    <row r="1179" spans="2:2" x14ac:dyDescent="0.2">
      <c r="B1179" s="2" t="s">
        <v>1951</v>
      </c>
    </row>
    <row r="1180" spans="2:2" x14ac:dyDescent="0.2">
      <c r="B1180" s="2" t="s">
        <v>1952</v>
      </c>
    </row>
    <row r="1181" spans="2:2" x14ac:dyDescent="0.2">
      <c r="B1181" s="2" t="s">
        <v>1953</v>
      </c>
    </row>
    <row r="1182" spans="2:2" x14ac:dyDescent="0.2">
      <c r="B1182" s="2" t="s">
        <v>1954</v>
      </c>
    </row>
    <row r="1183" spans="2:2" x14ac:dyDescent="0.2">
      <c r="B1183" s="2" t="s">
        <v>1955</v>
      </c>
    </row>
    <row r="1184" spans="2:2" x14ac:dyDescent="0.2">
      <c r="B1184" s="2" t="s">
        <v>1956</v>
      </c>
    </row>
    <row r="1185" spans="2:2" x14ac:dyDescent="0.2">
      <c r="B1185" s="2" t="s">
        <v>1957</v>
      </c>
    </row>
    <row r="1186" spans="2:2" x14ac:dyDescent="0.2">
      <c r="B1186" s="2" t="s">
        <v>1958</v>
      </c>
    </row>
    <row r="1187" spans="2:2" x14ac:dyDescent="0.2">
      <c r="B1187" s="2" t="s">
        <v>1959</v>
      </c>
    </row>
    <row r="1188" spans="2:2" x14ac:dyDescent="0.2">
      <c r="B1188" s="2" t="s">
        <v>1960</v>
      </c>
    </row>
    <row r="1189" spans="2:2" x14ac:dyDescent="0.2">
      <c r="B1189" s="2" t="s">
        <v>1961</v>
      </c>
    </row>
    <row r="1190" spans="2:2" x14ac:dyDescent="0.2">
      <c r="B1190" s="2" t="s">
        <v>1962</v>
      </c>
    </row>
    <row r="1191" spans="2:2" x14ac:dyDescent="0.2">
      <c r="B1191" s="2" t="s">
        <v>1963</v>
      </c>
    </row>
    <row r="1192" spans="2:2" x14ac:dyDescent="0.2">
      <c r="B1192" s="2" t="s">
        <v>1964</v>
      </c>
    </row>
    <row r="1193" spans="2:2" x14ac:dyDescent="0.2">
      <c r="B1193" s="2" t="s">
        <v>1965</v>
      </c>
    </row>
    <row r="1194" spans="2:2" x14ac:dyDescent="0.2">
      <c r="B1194" s="2" t="s">
        <v>1966</v>
      </c>
    </row>
    <row r="1195" spans="2:2" x14ac:dyDescent="0.2">
      <c r="B1195" s="2" t="s">
        <v>1967</v>
      </c>
    </row>
    <row r="1196" spans="2:2" x14ac:dyDescent="0.2">
      <c r="B1196" s="2" t="s">
        <v>1968</v>
      </c>
    </row>
    <row r="1197" spans="2:2" x14ac:dyDescent="0.2">
      <c r="B1197" s="2" t="s">
        <v>1969</v>
      </c>
    </row>
    <row r="1198" spans="2:2" x14ac:dyDescent="0.2">
      <c r="B1198" s="2" t="s">
        <v>1970</v>
      </c>
    </row>
    <row r="1199" spans="2:2" x14ac:dyDescent="0.2">
      <c r="B1199" s="2" t="s">
        <v>1971</v>
      </c>
    </row>
    <row r="1200" spans="2:2" x14ac:dyDescent="0.2">
      <c r="B1200" s="2" t="s">
        <v>1972</v>
      </c>
    </row>
    <row r="1201" spans="2:2" x14ac:dyDescent="0.2">
      <c r="B1201" s="2" t="s">
        <v>1973</v>
      </c>
    </row>
    <row r="1202" spans="2:2" x14ac:dyDescent="0.2">
      <c r="B1202" s="2" t="s">
        <v>1974</v>
      </c>
    </row>
    <row r="1203" spans="2:2" x14ac:dyDescent="0.2">
      <c r="B1203" s="2" t="s">
        <v>1975</v>
      </c>
    </row>
    <row r="1204" spans="2:2" x14ac:dyDescent="0.2">
      <c r="B1204" s="2" t="s">
        <v>1976</v>
      </c>
    </row>
    <row r="1205" spans="2:2" x14ac:dyDescent="0.2">
      <c r="B1205" s="2" t="s">
        <v>1977</v>
      </c>
    </row>
    <row r="1206" spans="2:2" x14ac:dyDescent="0.2">
      <c r="B1206" s="2" t="s">
        <v>1978</v>
      </c>
    </row>
    <row r="1207" spans="2:2" x14ac:dyDescent="0.2">
      <c r="B1207" s="2" t="s">
        <v>1979</v>
      </c>
    </row>
    <row r="1208" spans="2:2" x14ac:dyDescent="0.2">
      <c r="B1208" s="2" t="s">
        <v>1980</v>
      </c>
    </row>
    <row r="1209" spans="2:2" x14ac:dyDescent="0.2">
      <c r="B1209" s="2" t="s">
        <v>1981</v>
      </c>
    </row>
    <row r="1210" spans="2:2" x14ac:dyDescent="0.2">
      <c r="B1210" s="2" t="s">
        <v>1982</v>
      </c>
    </row>
    <row r="1211" spans="2:2" x14ac:dyDescent="0.2">
      <c r="B1211" s="2" t="s">
        <v>1983</v>
      </c>
    </row>
    <row r="1212" spans="2:2" x14ac:dyDescent="0.2">
      <c r="B1212" s="2" t="s">
        <v>1984</v>
      </c>
    </row>
    <row r="1213" spans="2:2" x14ac:dyDescent="0.2">
      <c r="B1213" s="2" t="s">
        <v>1985</v>
      </c>
    </row>
    <row r="1214" spans="2:2" x14ac:dyDescent="0.2">
      <c r="B1214" s="2" t="s">
        <v>1986</v>
      </c>
    </row>
    <row r="1215" spans="2:2" x14ac:dyDescent="0.2">
      <c r="B1215" s="2" t="s">
        <v>1987</v>
      </c>
    </row>
    <row r="1216" spans="2:2" x14ac:dyDescent="0.2">
      <c r="B1216" s="2" t="s">
        <v>1988</v>
      </c>
    </row>
    <row r="1217" spans="2:11" x14ac:dyDescent="0.2">
      <c r="B1217" s="2" t="s">
        <v>1989</v>
      </c>
    </row>
    <row r="1218" spans="2:11" x14ac:dyDescent="0.2">
      <c r="B1218" s="2" t="s">
        <v>1990</v>
      </c>
    </row>
    <row r="1219" spans="2:11" x14ac:dyDescent="0.2">
      <c r="B1219" s="2" t="s">
        <v>1991</v>
      </c>
    </row>
    <row r="1220" spans="2:11" x14ac:dyDescent="0.2">
      <c r="B1220" s="2" t="s">
        <v>1992</v>
      </c>
    </row>
    <row r="1221" spans="2:11" x14ac:dyDescent="0.2">
      <c r="B1221" s="2" t="s">
        <v>1993</v>
      </c>
    </row>
    <row r="1222" spans="2:11" x14ac:dyDescent="0.2">
      <c r="B1222" s="2" t="s">
        <v>1994</v>
      </c>
    </row>
    <row r="1223" spans="2:11" x14ac:dyDescent="0.2">
      <c r="B1223" s="2" t="s">
        <v>1995</v>
      </c>
      <c r="K1223" s="2">
        <v>1105</v>
      </c>
    </row>
    <row r="1224" spans="2:11" x14ac:dyDescent="0.2">
      <c r="B1224" s="2" t="s">
        <v>1996</v>
      </c>
    </row>
    <row r="1225" spans="2:11" x14ac:dyDescent="0.2">
      <c r="B1225" s="2" t="s">
        <v>1997</v>
      </c>
    </row>
    <row r="1226" spans="2:11" x14ac:dyDescent="0.2">
      <c r="B1226" s="2" t="s">
        <v>1998</v>
      </c>
    </row>
    <row r="1227" spans="2:11" x14ac:dyDescent="0.2">
      <c r="B1227" s="2" t="s">
        <v>1999</v>
      </c>
    </row>
    <row r="1228" spans="2:11" x14ac:dyDescent="0.2">
      <c r="B1228" s="2" t="s">
        <v>2000</v>
      </c>
    </row>
    <row r="1229" spans="2:11" x14ac:dyDescent="0.2">
      <c r="B1229" s="2" t="s">
        <v>2001</v>
      </c>
    </row>
    <row r="1230" spans="2:11" x14ac:dyDescent="0.2">
      <c r="B1230" s="2" t="s">
        <v>2002</v>
      </c>
    </row>
    <row r="1231" spans="2:11" x14ac:dyDescent="0.2">
      <c r="B1231" s="2" t="s">
        <v>2003</v>
      </c>
    </row>
    <row r="1232" spans="2:11" x14ac:dyDescent="0.2">
      <c r="B1232" s="2" t="s">
        <v>2004</v>
      </c>
    </row>
    <row r="1233" spans="2:2" x14ac:dyDescent="0.2">
      <c r="B1233" s="2" t="s">
        <v>2005</v>
      </c>
    </row>
    <row r="1234" spans="2:2" x14ac:dyDescent="0.2">
      <c r="B1234" s="2" t="s">
        <v>2006</v>
      </c>
    </row>
    <row r="1235" spans="2:2" x14ac:dyDescent="0.2">
      <c r="B1235" s="2" t="s">
        <v>2007</v>
      </c>
    </row>
    <row r="1236" spans="2:2" x14ac:dyDescent="0.2">
      <c r="B1236" s="2" t="s">
        <v>2008</v>
      </c>
    </row>
    <row r="1237" spans="2:2" x14ac:dyDescent="0.2">
      <c r="B1237" s="2" t="s">
        <v>2009</v>
      </c>
    </row>
    <row r="1238" spans="2:2" x14ac:dyDescent="0.2">
      <c r="B1238" s="2" t="s">
        <v>2010</v>
      </c>
    </row>
    <row r="1239" spans="2:2" x14ac:dyDescent="0.2">
      <c r="B1239" s="2" t="s">
        <v>2011</v>
      </c>
    </row>
    <row r="1240" spans="2:2" x14ac:dyDescent="0.2">
      <c r="B1240" s="2" t="s">
        <v>2012</v>
      </c>
    </row>
    <row r="1241" spans="2:2" x14ac:dyDescent="0.2">
      <c r="B1241" s="2" t="s">
        <v>2013</v>
      </c>
    </row>
    <row r="1242" spans="2:2" x14ac:dyDescent="0.2">
      <c r="B1242" s="2" t="s">
        <v>2014</v>
      </c>
    </row>
    <row r="1243" spans="2:2" x14ac:dyDescent="0.2">
      <c r="B1243" s="2" t="s">
        <v>2015</v>
      </c>
    </row>
    <row r="1244" spans="2:2" x14ac:dyDescent="0.2">
      <c r="B1244" s="2" t="s">
        <v>2016</v>
      </c>
    </row>
    <row r="1245" spans="2:2" x14ac:dyDescent="0.2">
      <c r="B1245" s="2" t="s">
        <v>2017</v>
      </c>
    </row>
    <row r="1246" spans="2:2" x14ac:dyDescent="0.2">
      <c r="B1246" s="2" t="s">
        <v>2018</v>
      </c>
    </row>
    <row r="1247" spans="2:2" x14ac:dyDescent="0.2">
      <c r="B1247" s="2" t="s">
        <v>2019</v>
      </c>
    </row>
    <row r="1248" spans="2:2" x14ac:dyDescent="0.2">
      <c r="B1248" s="2" t="s">
        <v>2020</v>
      </c>
    </row>
    <row r="1249" spans="2:2" x14ac:dyDescent="0.2">
      <c r="B1249" s="2" t="s">
        <v>2021</v>
      </c>
    </row>
    <row r="1250" spans="2:2" x14ac:dyDescent="0.2">
      <c r="B1250" s="2" t="s">
        <v>2022</v>
      </c>
    </row>
    <row r="1251" spans="2:2" x14ac:dyDescent="0.2">
      <c r="B1251" s="2" t="s">
        <v>2023</v>
      </c>
    </row>
    <row r="1252" spans="2:2" x14ac:dyDescent="0.2">
      <c r="B1252" s="2" t="s">
        <v>2024</v>
      </c>
    </row>
    <row r="1253" spans="2:2" x14ac:dyDescent="0.2">
      <c r="B1253" s="2" t="s">
        <v>2025</v>
      </c>
    </row>
    <row r="1254" spans="2:2" x14ac:dyDescent="0.2">
      <c r="B1254" s="2" t="s">
        <v>2026</v>
      </c>
    </row>
    <row r="1255" spans="2:2" x14ac:dyDescent="0.2">
      <c r="B1255" s="2" t="s">
        <v>2027</v>
      </c>
    </row>
    <row r="1256" spans="2:2" x14ac:dyDescent="0.2">
      <c r="B1256" s="2" t="s">
        <v>2028</v>
      </c>
    </row>
    <row r="1257" spans="2:2" x14ac:dyDescent="0.2">
      <c r="B1257" s="2" t="s">
        <v>2029</v>
      </c>
    </row>
    <row r="1258" spans="2:2" x14ac:dyDescent="0.2">
      <c r="B1258" s="2" t="s">
        <v>2030</v>
      </c>
    </row>
    <row r="1259" spans="2:2" x14ac:dyDescent="0.2">
      <c r="B1259" s="2" t="s">
        <v>2031</v>
      </c>
    </row>
    <row r="1260" spans="2:2" x14ac:dyDescent="0.2">
      <c r="B1260" s="2" t="s">
        <v>2032</v>
      </c>
    </row>
    <row r="1261" spans="2:2" x14ac:dyDescent="0.2">
      <c r="B1261" s="2" t="s">
        <v>2033</v>
      </c>
    </row>
    <row r="1262" spans="2:2" x14ac:dyDescent="0.2">
      <c r="B1262" s="2" t="s">
        <v>2034</v>
      </c>
    </row>
    <row r="1263" spans="2:2" x14ac:dyDescent="0.2">
      <c r="B1263" s="2" t="s">
        <v>2035</v>
      </c>
    </row>
    <row r="1264" spans="2:2" x14ac:dyDescent="0.2">
      <c r="B1264" s="2" t="s">
        <v>2036</v>
      </c>
    </row>
    <row r="1265" spans="2:2" x14ac:dyDescent="0.2">
      <c r="B1265" s="2" t="s">
        <v>2037</v>
      </c>
    </row>
    <row r="1266" spans="2:2" x14ac:dyDescent="0.2">
      <c r="B1266" s="2" t="s">
        <v>2038</v>
      </c>
    </row>
    <row r="1267" spans="2:2" x14ac:dyDescent="0.2">
      <c r="B1267" s="2" t="s">
        <v>2039</v>
      </c>
    </row>
    <row r="1268" spans="2:2" x14ac:dyDescent="0.2">
      <c r="B1268" s="2" t="s">
        <v>2040</v>
      </c>
    </row>
    <row r="1269" spans="2:2" x14ac:dyDescent="0.2">
      <c r="B1269" s="2" t="s">
        <v>2041</v>
      </c>
    </row>
    <row r="1270" spans="2:2" x14ac:dyDescent="0.2">
      <c r="B1270" s="2" t="s">
        <v>2042</v>
      </c>
    </row>
    <row r="1271" spans="2:2" x14ac:dyDescent="0.2">
      <c r="B1271" s="2" t="s">
        <v>2043</v>
      </c>
    </row>
    <row r="1272" spans="2:2" x14ac:dyDescent="0.2">
      <c r="B1272" s="2" t="s">
        <v>2044</v>
      </c>
    </row>
    <row r="1273" spans="2:2" x14ac:dyDescent="0.2">
      <c r="B1273" s="2" t="s">
        <v>2045</v>
      </c>
    </row>
    <row r="1274" spans="2:2" x14ac:dyDescent="0.2">
      <c r="B1274" s="2" t="s">
        <v>2046</v>
      </c>
    </row>
    <row r="1275" spans="2:2" x14ac:dyDescent="0.2">
      <c r="B1275" s="2" t="s">
        <v>2047</v>
      </c>
    </row>
    <row r="1276" spans="2:2" x14ac:dyDescent="0.2">
      <c r="B1276" s="2" t="s">
        <v>2048</v>
      </c>
    </row>
    <row r="1277" spans="2:2" x14ac:dyDescent="0.2">
      <c r="B1277" s="2" t="s">
        <v>2049</v>
      </c>
    </row>
    <row r="1278" spans="2:2" x14ac:dyDescent="0.2">
      <c r="B1278" s="2" t="s">
        <v>2050</v>
      </c>
    </row>
    <row r="1279" spans="2:2" x14ac:dyDescent="0.2">
      <c r="B1279" s="2" t="s">
        <v>2051</v>
      </c>
    </row>
    <row r="1280" spans="2:2" x14ac:dyDescent="0.2">
      <c r="B1280" s="2" t="s">
        <v>2052</v>
      </c>
    </row>
    <row r="1281" spans="2:2" x14ac:dyDescent="0.2">
      <c r="B1281" s="2" t="s">
        <v>2053</v>
      </c>
    </row>
    <row r="1282" spans="2:2" x14ac:dyDescent="0.2">
      <c r="B1282" s="2" t="s">
        <v>2054</v>
      </c>
    </row>
    <row r="1283" spans="2:2" x14ac:dyDescent="0.2">
      <c r="B1283" s="2" t="s">
        <v>2055</v>
      </c>
    </row>
    <row r="1284" spans="2:2" x14ac:dyDescent="0.2">
      <c r="B1284" s="2" t="s">
        <v>2056</v>
      </c>
    </row>
    <row r="1285" spans="2:2" x14ac:dyDescent="0.2">
      <c r="B1285" s="2" t="s">
        <v>2057</v>
      </c>
    </row>
    <row r="1286" spans="2:2" x14ac:dyDescent="0.2">
      <c r="B1286" s="2" t="s">
        <v>2058</v>
      </c>
    </row>
    <row r="1287" spans="2:2" x14ac:dyDescent="0.2">
      <c r="B1287" s="2" t="s">
        <v>2059</v>
      </c>
    </row>
    <row r="1288" spans="2:2" x14ac:dyDescent="0.2">
      <c r="B1288" s="2" t="s">
        <v>2060</v>
      </c>
    </row>
    <row r="1289" spans="2:2" x14ac:dyDescent="0.2">
      <c r="B1289" s="2" t="s">
        <v>2061</v>
      </c>
    </row>
    <row r="1290" spans="2:2" x14ac:dyDescent="0.2">
      <c r="B1290" s="2" t="s">
        <v>2062</v>
      </c>
    </row>
    <row r="1291" spans="2:2" x14ac:dyDescent="0.2">
      <c r="B1291" s="2" t="s">
        <v>2063</v>
      </c>
    </row>
    <row r="1292" spans="2:2" x14ac:dyDescent="0.2">
      <c r="B1292" s="2" t="s">
        <v>2064</v>
      </c>
    </row>
    <row r="1293" spans="2:2" x14ac:dyDescent="0.2">
      <c r="B1293" s="2" t="s">
        <v>2065</v>
      </c>
    </row>
    <row r="1294" spans="2:2" x14ac:dyDescent="0.2">
      <c r="B1294" s="2" t="s">
        <v>2066</v>
      </c>
    </row>
    <row r="1295" spans="2:2" x14ac:dyDescent="0.2">
      <c r="B1295" s="2" t="s">
        <v>2067</v>
      </c>
    </row>
    <row r="1296" spans="2:2" x14ac:dyDescent="0.2">
      <c r="B1296" s="2" t="s">
        <v>2068</v>
      </c>
    </row>
    <row r="1297" spans="2:2" x14ac:dyDescent="0.2">
      <c r="B1297" s="2" t="s">
        <v>2069</v>
      </c>
    </row>
    <row r="1298" spans="2:2" x14ac:dyDescent="0.2">
      <c r="B1298" s="2" t="s">
        <v>2070</v>
      </c>
    </row>
    <row r="1299" spans="2:2" x14ac:dyDescent="0.2">
      <c r="B1299" s="2" t="s">
        <v>2071</v>
      </c>
    </row>
    <row r="1300" spans="2:2" x14ac:dyDescent="0.2">
      <c r="B1300" s="2" t="s">
        <v>2072</v>
      </c>
    </row>
    <row r="1301" spans="2:2" x14ac:dyDescent="0.2">
      <c r="B1301" s="2" t="s">
        <v>2073</v>
      </c>
    </row>
    <row r="1302" spans="2:2" x14ac:dyDescent="0.2">
      <c r="B1302" s="2" t="s">
        <v>2074</v>
      </c>
    </row>
    <row r="1303" spans="2:2" x14ac:dyDescent="0.2">
      <c r="B1303" s="2" t="s">
        <v>2075</v>
      </c>
    </row>
    <row r="1304" spans="2:2" x14ac:dyDescent="0.2">
      <c r="B1304" s="2" t="s">
        <v>2076</v>
      </c>
    </row>
    <row r="1305" spans="2:2" x14ac:dyDescent="0.2">
      <c r="B1305" s="2" t="s">
        <v>2077</v>
      </c>
    </row>
    <row r="1306" spans="2:2" x14ac:dyDescent="0.2">
      <c r="B1306" s="2" t="s">
        <v>2078</v>
      </c>
    </row>
    <row r="1307" spans="2:2" x14ac:dyDescent="0.2">
      <c r="B1307" s="2" t="s">
        <v>2079</v>
      </c>
    </row>
    <row r="1308" spans="2:2" x14ac:dyDescent="0.2">
      <c r="B1308" s="2" t="s">
        <v>2080</v>
      </c>
    </row>
    <row r="1309" spans="2:2" x14ac:dyDescent="0.2">
      <c r="B1309" s="2" t="s">
        <v>2081</v>
      </c>
    </row>
    <row r="1310" spans="2:2" x14ac:dyDescent="0.2">
      <c r="B1310" s="2" t="s">
        <v>2082</v>
      </c>
    </row>
    <row r="1311" spans="2:2" x14ac:dyDescent="0.2">
      <c r="B1311" s="2" t="s">
        <v>2083</v>
      </c>
    </row>
    <row r="1312" spans="2:2" x14ac:dyDescent="0.2">
      <c r="B1312" s="2" t="s">
        <v>2084</v>
      </c>
    </row>
    <row r="1313" spans="2:2" x14ac:dyDescent="0.2">
      <c r="B1313" s="2" t="s">
        <v>2085</v>
      </c>
    </row>
    <row r="1314" spans="2:2" x14ac:dyDescent="0.2">
      <c r="B1314" s="2" t="s">
        <v>2086</v>
      </c>
    </row>
    <row r="1315" spans="2:2" x14ac:dyDescent="0.2">
      <c r="B1315" s="2" t="s">
        <v>2087</v>
      </c>
    </row>
    <row r="1316" spans="2:2" x14ac:dyDescent="0.2">
      <c r="B1316" s="2" t="s">
        <v>2088</v>
      </c>
    </row>
    <row r="1317" spans="2:2" x14ac:dyDescent="0.2">
      <c r="B1317" s="2" t="s">
        <v>2089</v>
      </c>
    </row>
    <row r="1318" spans="2:2" x14ac:dyDescent="0.2">
      <c r="B1318" s="2" t="s">
        <v>2090</v>
      </c>
    </row>
    <row r="1319" spans="2:2" x14ac:dyDescent="0.2">
      <c r="B1319" s="2" t="s">
        <v>2091</v>
      </c>
    </row>
    <row r="1320" spans="2:2" x14ac:dyDescent="0.2">
      <c r="B1320" s="2" t="s">
        <v>2092</v>
      </c>
    </row>
    <row r="1321" spans="2:2" x14ac:dyDescent="0.2">
      <c r="B1321" s="2" t="s">
        <v>2093</v>
      </c>
    </row>
    <row r="1322" spans="2:2" x14ac:dyDescent="0.2">
      <c r="B1322" s="2" t="s">
        <v>2094</v>
      </c>
    </row>
    <row r="1323" spans="2:2" x14ac:dyDescent="0.2">
      <c r="B1323" s="2" t="s">
        <v>2095</v>
      </c>
    </row>
    <row r="1324" spans="2:2" x14ac:dyDescent="0.2">
      <c r="B1324" s="2" t="s">
        <v>2096</v>
      </c>
    </row>
    <row r="1325" spans="2:2" x14ac:dyDescent="0.2">
      <c r="B1325" s="2" t="s">
        <v>2097</v>
      </c>
    </row>
    <row r="1326" spans="2:2" x14ac:dyDescent="0.2">
      <c r="B1326" s="2" t="s">
        <v>2098</v>
      </c>
    </row>
    <row r="1327" spans="2:2" x14ac:dyDescent="0.2">
      <c r="B1327" s="2" t="s">
        <v>2099</v>
      </c>
    </row>
    <row r="1328" spans="2:2" x14ac:dyDescent="0.2">
      <c r="B1328" s="2" t="s">
        <v>2100</v>
      </c>
    </row>
    <row r="1329" spans="2:2" x14ac:dyDescent="0.2">
      <c r="B1329" s="2" t="s">
        <v>2101</v>
      </c>
    </row>
    <row r="1330" spans="2:2" x14ac:dyDescent="0.2">
      <c r="B1330" s="2" t="s">
        <v>2102</v>
      </c>
    </row>
    <row r="1331" spans="2:2" x14ac:dyDescent="0.2">
      <c r="B1331" s="2" t="s">
        <v>2103</v>
      </c>
    </row>
    <row r="1332" spans="2:2" x14ac:dyDescent="0.2">
      <c r="B1332" s="2" t="s">
        <v>2104</v>
      </c>
    </row>
    <row r="1333" spans="2:2" x14ac:dyDescent="0.2">
      <c r="B1333" s="2" t="s">
        <v>2105</v>
      </c>
    </row>
    <row r="1334" spans="2:2" x14ac:dyDescent="0.2">
      <c r="B1334" s="2" t="s">
        <v>2106</v>
      </c>
    </row>
    <row r="1335" spans="2:2" x14ac:dyDescent="0.2">
      <c r="B1335" s="2" t="s">
        <v>2107</v>
      </c>
    </row>
    <row r="1336" spans="2:2" x14ac:dyDescent="0.2">
      <c r="B1336" s="2" t="s">
        <v>2108</v>
      </c>
    </row>
    <row r="1337" spans="2:2" x14ac:dyDescent="0.2">
      <c r="B1337" s="2" t="s">
        <v>2109</v>
      </c>
    </row>
    <row r="1338" spans="2:2" x14ac:dyDescent="0.2">
      <c r="B1338" s="2" t="s">
        <v>2110</v>
      </c>
    </row>
    <row r="1339" spans="2:2" x14ac:dyDescent="0.2">
      <c r="B1339" s="2" t="s">
        <v>2111</v>
      </c>
    </row>
    <row r="1340" spans="2:2" x14ac:dyDescent="0.2">
      <c r="B1340" s="2" t="s">
        <v>2112</v>
      </c>
    </row>
    <row r="1341" spans="2:2" x14ac:dyDescent="0.2">
      <c r="B1341" s="2" t="s">
        <v>2113</v>
      </c>
    </row>
    <row r="1342" spans="2:2" x14ac:dyDescent="0.2">
      <c r="B1342" s="2" t="s">
        <v>2114</v>
      </c>
    </row>
    <row r="1343" spans="2:2" x14ac:dyDescent="0.2">
      <c r="B1343" s="2" t="s">
        <v>2115</v>
      </c>
    </row>
    <row r="1344" spans="2:2" x14ac:dyDescent="0.2">
      <c r="B1344" s="2" t="s">
        <v>2116</v>
      </c>
    </row>
    <row r="1345" spans="2:2" x14ac:dyDescent="0.2">
      <c r="B1345" s="2" t="s">
        <v>2117</v>
      </c>
    </row>
    <row r="1346" spans="2:2" x14ac:dyDescent="0.2">
      <c r="B1346" s="2" t="s">
        <v>2118</v>
      </c>
    </row>
    <row r="1347" spans="2:2" x14ac:dyDescent="0.2">
      <c r="B1347" s="2" t="s">
        <v>2119</v>
      </c>
    </row>
    <row r="1348" spans="2:2" x14ac:dyDescent="0.2">
      <c r="B1348" s="2" t="s">
        <v>2120</v>
      </c>
    </row>
    <row r="1349" spans="2:2" x14ac:dyDescent="0.2">
      <c r="B1349" s="2" t="s">
        <v>2121</v>
      </c>
    </row>
    <row r="1350" spans="2:2" x14ac:dyDescent="0.2">
      <c r="B1350" s="2" t="s">
        <v>2122</v>
      </c>
    </row>
    <row r="1351" spans="2:2" x14ac:dyDescent="0.2">
      <c r="B1351" s="2" t="s">
        <v>2123</v>
      </c>
    </row>
    <row r="1352" spans="2:2" x14ac:dyDescent="0.2">
      <c r="B1352" s="2" t="s">
        <v>2124</v>
      </c>
    </row>
    <row r="1353" spans="2:2" x14ac:dyDescent="0.2">
      <c r="B1353" s="2" t="s">
        <v>2125</v>
      </c>
    </row>
    <row r="1354" spans="2:2" x14ac:dyDescent="0.2">
      <c r="B1354" s="2" t="s">
        <v>2126</v>
      </c>
    </row>
    <row r="1355" spans="2:2" x14ac:dyDescent="0.2">
      <c r="B1355" s="2" t="s">
        <v>2127</v>
      </c>
    </row>
    <row r="1356" spans="2:2" x14ac:dyDescent="0.2">
      <c r="B1356" s="2" t="s">
        <v>2128</v>
      </c>
    </row>
    <row r="1357" spans="2:2" x14ac:dyDescent="0.2">
      <c r="B1357" s="2" t="s">
        <v>2129</v>
      </c>
    </row>
    <row r="1358" spans="2:2" x14ac:dyDescent="0.2">
      <c r="B1358" s="2" t="s">
        <v>2130</v>
      </c>
    </row>
    <row r="1359" spans="2:2" x14ac:dyDescent="0.2">
      <c r="B1359" s="2" t="s">
        <v>2131</v>
      </c>
    </row>
    <row r="1360" spans="2:2" x14ac:dyDescent="0.2">
      <c r="B1360" s="2" t="s">
        <v>2132</v>
      </c>
    </row>
    <row r="1361" spans="2:2" x14ac:dyDescent="0.2">
      <c r="B1361" s="2" t="s">
        <v>2133</v>
      </c>
    </row>
    <row r="1362" spans="2:2" x14ac:dyDescent="0.2">
      <c r="B1362" s="2" t="s">
        <v>2134</v>
      </c>
    </row>
    <row r="1363" spans="2:2" x14ac:dyDescent="0.2">
      <c r="B1363" s="2" t="s">
        <v>2135</v>
      </c>
    </row>
    <row r="1364" spans="2:2" x14ac:dyDescent="0.2">
      <c r="B1364" s="2" t="s">
        <v>2136</v>
      </c>
    </row>
    <row r="1365" spans="2:2" x14ac:dyDescent="0.2">
      <c r="B1365" s="2" t="s">
        <v>2137</v>
      </c>
    </row>
    <row r="1366" spans="2:2" x14ac:dyDescent="0.2">
      <c r="B1366" s="2" t="s">
        <v>2138</v>
      </c>
    </row>
    <row r="1367" spans="2:2" x14ac:dyDescent="0.2">
      <c r="B1367" s="2" t="s">
        <v>2139</v>
      </c>
    </row>
    <row r="1368" spans="2:2" x14ac:dyDescent="0.2">
      <c r="B1368" s="2" t="s">
        <v>2140</v>
      </c>
    </row>
    <row r="1369" spans="2:2" x14ac:dyDescent="0.2">
      <c r="B1369" s="2" t="s">
        <v>2141</v>
      </c>
    </row>
    <row r="1370" spans="2:2" x14ac:dyDescent="0.2">
      <c r="B1370" s="2" t="s">
        <v>2142</v>
      </c>
    </row>
    <row r="1371" spans="2:2" x14ac:dyDescent="0.2">
      <c r="B1371" s="2" t="s">
        <v>2143</v>
      </c>
    </row>
    <row r="1372" spans="2:2" x14ac:dyDescent="0.2">
      <c r="B1372" s="2" t="s">
        <v>2144</v>
      </c>
    </row>
    <row r="1373" spans="2:2" x14ac:dyDescent="0.2">
      <c r="B1373" s="2" t="s">
        <v>2145</v>
      </c>
    </row>
    <row r="1374" spans="2:2" x14ac:dyDescent="0.2">
      <c r="B1374" s="2" t="s">
        <v>2146</v>
      </c>
    </row>
    <row r="1375" spans="2:2" x14ac:dyDescent="0.2">
      <c r="B1375" s="2" t="s">
        <v>2147</v>
      </c>
    </row>
    <row r="1376" spans="2:2" x14ac:dyDescent="0.2">
      <c r="B1376" s="2" t="s">
        <v>2148</v>
      </c>
    </row>
    <row r="1377" spans="2:2" x14ac:dyDescent="0.2">
      <c r="B1377" s="2" t="s">
        <v>2149</v>
      </c>
    </row>
    <row r="1378" spans="2:2" x14ac:dyDescent="0.2">
      <c r="B1378" s="2" t="s">
        <v>2150</v>
      </c>
    </row>
    <row r="1379" spans="2:2" x14ac:dyDescent="0.2">
      <c r="B1379" s="2" t="s">
        <v>2151</v>
      </c>
    </row>
    <row r="1380" spans="2:2" x14ac:dyDescent="0.2">
      <c r="B1380" s="2" t="s">
        <v>2152</v>
      </c>
    </row>
    <row r="1381" spans="2:2" x14ac:dyDescent="0.2">
      <c r="B1381" s="2" t="s">
        <v>2153</v>
      </c>
    </row>
    <row r="1382" spans="2:2" x14ac:dyDescent="0.2">
      <c r="B1382" s="2" t="s">
        <v>2154</v>
      </c>
    </row>
    <row r="1383" spans="2:2" x14ac:dyDescent="0.2">
      <c r="B1383" s="2" t="s">
        <v>2155</v>
      </c>
    </row>
    <row r="1384" spans="2:2" x14ac:dyDescent="0.2">
      <c r="B1384" s="2" t="s">
        <v>2156</v>
      </c>
    </row>
    <row r="1385" spans="2:2" x14ac:dyDescent="0.2">
      <c r="B1385" s="2" t="s">
        <v>2157</v>
      </c>
    </row>
    <row r="1386" spans="2:2" x14ac:dyDescent="0.2">
      <c r="B1386" s="2" t="s">
        <v>2158</v>
      </c>
    </row>
    <row r="1387" spans="2:2" x14ac:dyDescent="0.2">
      <c r="B1387" s="2" t="s">
        <v>2159</v>
      </c>
    </row>
    <row r="1388" spans="2:2" x14ac:dyDescent="0.2">
      <c r="B1388" s="2" t="s">
        <v>2160</v>
      </c>
    </row>
    <row r="1389" spans="2:2" x14ac:dyDescent="0.2">
      <c r="B1389" s="2" t="s">
        <v>2161</v>
      </c>
    </row>
    <row r="1390" spans="2:2" x14ac:dyDescent="0.2">
      <c r="B1390" s="2" t="s">
        <v>2162</v>
      </c>
    </row>
    <row r="1391" spans="2:2" x14ac:dyDescent="0.2">
      <c r="B1391" s="2" t="s">
        <v>2163</v>
      </c>
    </row>
    <row r="1392" spans="2:2" x14ac:dyDescent="0.2">
      <c r="B1392" s="2" t="s">
        <v>2164</v>
      </c>
    </row>
    <row r="1393" spans="2:2" x14ac:dyDescent="0.2">
      <c r="B1393" s="2" t="s">
        <v>2165</v>
      </c>
    </row>
    <row r="1394" spans="2:2" x14ac:dyDescent="0.2">
      <c r="B1394" s="2" t="s">
        <v>2166</v>
      </c>
    </row>
    <row r="1395" spans="2:2" x14ac:dyDescent="0.2">
      <c r="B1395" s="2" t="s">
        <v>2167</v>
      </c>
    </row>
    <row r="1396" spans="2:2" x14ac:dyDescent="0.2">
      <c r="B1396" s="2" t="s">
        <v>2168</v>
      </c>
    </row>
    <row r="1397" spans="2:2" x14ac:dyDescent="0.2">
      <c r="B1397" s="2" t="s">
        <v>2169</v>
      </c>
    </row>
    <row r="1398" spans="2:2" x14ac:dyDescent="0.2">
      <c r="B1398" s="2" t="s">
        <v>2170</v>
      </c>
    </row>
    <row r="1399" spans="2:2" x14ac:dyDescent="0.2">
      <c r="B1399" s="2" t="s">
        <v>2171</v>
      </c>
    </row>
    <row r="1400" spans="2:2" x14ac:dyDescent="0.2">
      <c r="B1400" s="2" t="s">
        <v>2172</v>
      </c>
    </row>
    <row r="1401" spans="2:2" x14ac:dyDescent="0.2">
      <c r="B1401" s="2" t="s">
        <v>2173</v>
      </c>
    </row>
    <row r="1402" spans="2:2" x14ac:dyDescent="0.2">
      <c r="B1402" s="2" t="s">
        <v>2174</v>
      </c>
    </row>
    <row r="1403" spans="2:2" x14ac:dyDescent="0.2">
      <c r="B1403" s="2" t="s">
        <v>2175</v>
      </c>
    </row>
    <row r="1404" spans="2:2" x14ac:dyDescent="0.2">
      <c r="B1404" s="2" t="s">
        <v>2176</v>
      </c>
    </row>
    <row r="1405" spans="2:2" x14ac:dyDescent="0.2">
      <c r="B1405" s="2" t="s">
        <v>2177</v>
      </c>
    </row>
    <row r="1406" spans="2:2" x14ac:dyDescent="0.2">
      <c r="B1406" s="2" t="s">
        <v>2178</v>
      </c>
    </row>
    <row r="1407" spans="2:2" x14ac:dyDescent="0.2">
      <c r="B1407" s="2" t="s">
        <v>2179</v>
      </c>
    </row>
    <row r="1408" spans="2:2" x14ac:dyDescent="0.2">
      <c r="B1408" s="2" t="s">
        <v>2180</v>
      </c>
    </row>
    <row r="1409" spans="2:2" x14ac:dyDescent="0.2">
      <c r="B1409" s="2" t="s">
        <v>2181</v>
      </c>
    </row>
    <row r="1410" spans="2:2" x14ac:dyDescent="0.2">
      <c r="B1410" s="2" t="s">
        <v>2182</v>
      </c>
    </row>
    <row r="1411" spans="2:2" x14ac:dyDescent="0.2">
      <c r="B1411" s="2" t="s">
        <v>2183</v>
      </c>
    </row>
    <row r="1412" spans="2:2" x14ac:dyDescent="0.2">
      <c r="B1412" s="2" t="s">
        <v>2184</v>
      </c>
    </row>
    <row r="1413" spans="2:2" x14ac:dyDescent="0.2">
      <c r="B1413" s="2" t="s">
        <v>2185</v>
      </c>
    </row>
    <row r="1414" spans="2:2" x14ac:dyDescent="0.2">
      <c r="B1414" s="2" t="s">
        <v>2186</v>
      </c>
    </row>
    <row r="1415" spans="2:2" x14ac:dyDescent="0.2">
      <c r="B1415" s="2" t="s">
        <v>2187</v>
      </c>
    </row>
    <row r="1416" spans="2:2" x14ac:dyDescent="0.2">
      <c r="B1416" s="2" t="s">
        <v>2188</v>
      </c>
    </row>
    <row r="1417" spans="2:2" x14ac:dyDescent="0.2">
      <c r="B1417" s="2" t="s">
        <v>2189</v>
      </c>
    </row>
    <row r="1418" spans="2:2" x14ac:dyDescent="0.2">
      <c r="B1418" s="2" t="s">
        <v>2190</v>
      </c>
    </row>
    <row r="1419" spans="2:2" x14ac:dyDescent="0.2">
      <c r="B1419" s="2" t="s">
        <v>2191</v>
      </c>
    </row>
    <row r="1420" spans="2:2" x14ac:dyDescent="0.2">
      <c r="B1420" s="2" t="s">
        <v>2192</v>
      </c>
    </row>
    <row r="1421" spans="2:2" x14ac:dyDescent="0.2">
      <c r="B1421" s="2" t="s">
        <v>2193</v>
      </c>
    </row>
    <row r="1422" spans="2:2" x14ac:dyDescent="0.2">
      <c r="B1422" s="2" t="s">
        <v>2194</v>
      </c>
    </row>
    <row r="1423" spans="2:2" x14ac:dyDescent="0.2">
      <c r="B1423" s="2" t="s">
        <v>2195</v>
      </c>
    </row>
    <row r="1424" spans="2:2" x14ac:dyDescent="0.2">
      <c r="B1424" s="2" t="s">
        <v>2196</v>
      </c>
    </row>
    <row r="1425" spans="2:2" x14ac:dyDescent="0.2">
      <c r="B1425" s="2" t="s">
        <v>2197</v>
      </c>
    </row>
    <row r="1426" spans="2:2" x14ac:dyDescent="0.2">
      <c r="B1426" s="2" t="s">
        <v>2198</v>
      </c>
    </row>
    <row r="1427" spans="2:2" x14ac:dyDescent="0.2">
      <c r="B1427" s="2" t="s">
        <v>2199</v>
      </c>
    </row>
    <row r="1428" spans="2:2" x14ac:dyDescent="0.2">
      <c r="B1428" s="2" t="s">
        <v>2200</v>
      </c>
    </row>
    <row r="1429" spans="2:2" x14ac:dyDescent="0.2">
      <c r="B1429" s="2" t="s">
        <v>2201</v>
      </c>
    </row>
    <row r="1430" spans="2:2" x14ac:dyDescent="0.2">
      <c r="B1430" s="2" t="s">
        <v>2202</v>
      </c>
    </row>
    <row r="1431" spans="2:2" x14ac:dyDescent="0.2">
      <c r="B1431" s="2" t="s">
        <v>2203</v>
      </c>
    </row>
    <row r="1432" spans="2:2" x14ac:dyDescent="0.2">
      <c r="B1432" s="2" t="s">
        <v>2204</v>
      </c>
    </row>
    <row r="1433" spans="2:2" x14ac:dyDescent="0.2">
      <c r="B1433" s="2" t="s">
        <v>2205</v>
      </c>
    </row>
    <row r="1434" spans="2:2" x14ac:dyDescent="0.2">
      <c r="B1434" s="2" t="s">
        <v>2206</v>
      </c>
    </row>
    <row r="1435" spans="2:2" x14ac:dyDescent="0.2">
      <c r="B1435" s="2" t="s">
        <v>2207</v>
      </c>
    </row>
    <row r="1436" spans="2:2" x14ac:dyDescent="0.2">
      <c r="B1436" s="2" t="s">
        <v>2208</v>
      </c>
    </row>
    <row r="1437" spans="2:2" x14ac:dyDescent="0.2">
      <c r="B1437" s="2" t="s">
        <v>2209</v>
      </c>
    </row>
    <row r="1438" spans="2:2" x14ac:dyDescent="0.2">
      <c r="B1438" s="2" t="s">
        <v>2210</v>
      </c>
    </row>
    <row r="1439" spans="2:2" x14ac:dyDescent="0.2">
      <c r="B1439" s="2" t="s">
        <v>2211</v>
      </c>
    </row>
    <row r="1440" spans="2:2" x14ac:dyDescent="0.2">
      <c r="B1440" s="2" t="s">
        <v>2212</v>
      </c>
    </row>
    <row r="1441" spans="2:2" x14ac:dyDescent="0.2">
      <c r="B1441" s="2" t="s">
        <v>2213</v>
      </c>
    </row>
    <row r="1442" spans="2:2" x14ac:dyDescent="0.2">
      <c r="B1442" s="2" t="s">
        <v>2214</v>
      </c>
    </row>
    <row r="1443" spans="2:2" x14ac:dyDescent="0.2">
      <c r="B1443" s="2" t="s">
        <v>2215</v>
      </c>
    </row>
    <row r="1444" spans="2:2" x14ac:dyDescent="0.2">
      <c r="B1444" s="2" t="s">
        <v>2216</v>
      </c>
    </row>
    <row r="1445" spans="2:2" x14ac:dyDescent="0.2">
      <c r="B1445" s="2" t="s">
        <v>2217</v>
      </c>
    </row>
    <row r="1446" spans="2:2" x14ac:dyDescent="0.2">
      <c r="B1446" s="2" t="s">
        <v>2218</v>
      </c>
    </row>
    <row r="1447" spans="2:2" x14ac:dyDescent="0.2">
      <c r="B1447" s="2" t="s">
        <v>2219</v>
      </c>
    </row>
    <row r="1448" spans="2:2" x14ac:dyDescent="0.2">
      <c r="B1448" s="2" t="s">
        <v>2220</v>
      </c>
    </row>
    <row r="1449" spans="2:2" x14ac:dyDescent="0.2">
      <c r="B1449" s="2" t="s">
        <v>2221</v>
      </c>
    </row>
    <row r="1450" spans="2:2" x14ac:dyDescent="0.2">
      <c r="B1450" s="2" t="s">
        <v>2222</v>
      </c>
    </row>
    <row r="1451" spans="2:2" x14ac:dyDescent="0.2">
      <c r="B1451" s="2" t="s">
        <v>2223</v>
      </c>
    </row>
    <row r="1452" spans="2:2" x14ac:dyDescent="0.2">
      <c r="B1452" s="2" t="s">
        <v>2224</v>
      </c>
    </row>
    <row r="1453" spans="2:2" x14ac:dyDescent="0.2">
      <c r="B1453" s="2" t="s">
        <v>2225</v>
      </c>
    </row>
    <row r="1454" spans="2:2" x14ac:dyDescent="0.2">
      <c r="B1454" s="2" t="s">
        <v>2226</v>
      </c>
    </row>
    <row r="1455" spans="2:2" x14ac:dyDescent="0.2">
      <c r="B1455" s="2" t="s">
        <v>2227</v>
      </c>
    </row>
    <row r="1456" spans="2:2" x14ac:dyDescent="0.2">
      <c r="B1456" s="2" t="s">
        <v>2228</v>
      </c>
    </row>
    <row r="1457" spans="2:2" x14ac:dyDescent="0.2">
      <c r="B1457" s="2" t="s">
        <v>2229</v>
      </c>
    </row>
    <row r="1458" spans="2:2" x14ac:dyDescent="0.2">
      <c r="B1458" s="2" t="s">
        <v>2230</v>
      </c>
    </row>
    <row r="1459" spans="2:2" x14ac:dyDescent="0.2">
      <c r="B1459" s="2" t="s">
        <v>2231</v>
      </c>
    </row>
    <row r="1460" spans="2:2" x14ac:dyDescent="0.2">
      <c r="B1460" s="2" t="s">
        <v>2232</v>
      </c>
    </row>
    <row r="1461" spans="2:2" x14ac:dyDescent="0.2">
      <c r="B1461" s="2" t="s">
        <v>2233</v>
      </c>
    </row>
    <row r="1462" spans="2:2" x14ac:dyDescent="0.2">
      <c r="B1462" s="2" t="s">
        <v>2234</v>
      </c>
    </row>
    <row r="1463" spans="2:2" x14ac:dyDescent="0.2">
      <c r="B1463" s="2" t="s">
        <v>2235</v>
      </c>
    </row>
    <row r="1464" spans="2:2" x14ac:dyDescent="0.2">
      <c r="B1464" s="2" t="s">
        <v>2236</v>
      </c>
    </row>
    <row r="1465" spans="2:2" x14ac:dyDescent="0.2">
      <c r="B1465" s="2" t="s">
        <v>2237</v>
      </c>
    </row>
    <row r="1466" spans="2:2" x14ac:dyDescent="0.2">
      <c r="B1466" s="2" t="s">
        <v>2238</v>
      </c>
    </row>
    <row r="1467" spans="2:2" x14ac:dyDescent="0.2">
      <c r="B1467" s="2" t="s">
        <v>2239</v>
      </c>
    </row>
    <row r="1468" spans="2:2" x14ac:dyDescent="0.2">
      <c r="B1468" s="2" t="s">
        <v>2240</v>
      </c>
    </row>
    <row r="1469" spans="2:2" x14ac:dyDescent="0.2">
      <c r="B1469" s="2" t="s">
        <v>2241</v>
      </c>
    </row>
    <row r="1470" spans="2:2" x14ac:dyDescent="0.2">
      <c r="B1470" s="2" t="s">
        <v>2242</v>
      </c>
    </row>
    <row r="1471" spans="2:2" x14ac:dyDescent="0.2">
      <c r="B1471" s="2" t="s">
        <v>2243</v>
      </c>
    </row>
    <row r="1472" spans="2:2" x14ac:dyDescent="0.2">
      <c r="B1472" s="2" t="s">
        <v>2244</v>
      </c>
    </row>
    <row r="1473" spans="2:2" x14ac:dyDescent="0.2">
      <c r="B1473" s="2" t="s">
        <v>2245</v>
      </c>
    </row>
    <row r="1474" spans="2:2" x14ac:dyDescent="0.2">
      <c r="B1474" s="2" t="s">
        <v>2246</v>
      </c>
    </row>
    <row r="1475" spans="2:2" x14ac:dyDescent="0.2">
      <c r="B1475" s="2" t="s">
        <v>2247</v>
      </c>
    </row>
    <row r="1476" spans="2:2" x14ac:dyDescent="0.2">
      <c r="B1476" s="2" t="s">
        <v>2248</v>
      </c>
    </row>
    <row r="1477" spans="2:2" x14ac:dyDescent="0.2">
      <c r="B1477" s="2" t="s">
        <v>2249</v>
      </c>
    </row>
    <row r="1478" spans="2:2" x14ac:dyDescent="0.2">
      <c r="B1478" s="2" t="s">
        <v>2250</v>
      </c>
    </row>
    <row r="1479" spans="2:2" x14ac:dyDescent="0.2">
      <c r="B1479" s="2" t="s">
        <v>2251</v>
      </c>
    </row>
    <row r="1480" spans="2:2" x14ac:dyDescent="0.2">
      <c r="B1480" s="2" t="s">
        <v>2252</v>
      </c>
    </row>
    <row r="1481" spans="2:2" x14ac:dyDescent="0.2">
      <c r="B1481" s="2" t="s">
        <v>2253</v>
      </c>
    </row>
    <row r="1482" spans="2:2" x14ac:dyDescent="0.2">
      <c r="B1482" s="2" t="s">
        <v>2254</v>
      </c>
    </row>
    <row r="1483" spans="2:2" x14ac:dyDescent="0.2">
      <c r="B1483" s="2" t="s">
        <v>2255</v>
      </c>
    </row>
    <row r="1484" spans="2:2" x14ac:dyDescent="0.2">
      <c r="B1484" s="2" t="s">
        <v>2256</v>
      </c>
    </row>
    <row r="1485" spans="2:2" x14ac:dyDescent="0.2">
      <c r="B1485" s="2" t="s">
        <v>2257</v>
      </c>
    </row>
    <row r="1486" spans="2:2" x14ac:dyDescent="0.2">
      <c r="B1486" s="2" t="s">
        <v>2258</v>
      </c>
    </row>
    <row r="1487" spans="2:2" x14ac:dyDescent="0.2">
      <c r="B1487" s="2" t="s">
        <v>2259</v>
      </c>
    </row>
    <row r="1488" spans="2:2" x14ac:dyDescent="0.2">
      <c r="B1488" s="2" t="s">
        <v>2260</v>
      </c>
    </row>
    <row r="1489" spans="2:2" x14ac:dyDescent="0.2">
      <c r="B1489" s="2" t="s">
        <v>2261</v>
      </c>
    </row>
    <row r="1490" spans="2:2" x14ac:dyDescent="0.2">
      <c r="B1490" s="2" t="s">
        <v>2262</v>
      </c>
    </row>
    <row r="1491" spans="2:2" x14ac:dyDescent="0.2">
      <c r="B1491" s="2" t="s">
        <v>2263</v>
      </c>
    </row>
    <row r="1492" spans="2:2" x14ac:dyDescent="0.2">
      <c r="B1492" s="2" t="s">
        <v>2264</v>
      </c>
    </row>
    <row r="1493" spans="2:2" x14ac:dyDescent="0.2">
      <c r="B1493" s="2" t="s">
        <v>2265</v>
      </c>
    </row>
    <row r="1494" spans="2:2" x14ac:dyDescent="0.2">
      <c r="B1494" s="2" t="s">
        <v>2266</v>
      </c>
    </row>
    <row r="1495" spans="2:2" x14ac:dyDescent="0.2">
      <c r="B1495" s="2" t="s">
        <v>2267</v>
      </c>
    </row>
    <row r="1496" spans="2:2" x14ac:dyDescent="0.2">
      <c r="B1496" s="2" t="s">
        <v>2268</v>
      </c>
    </row>
    <row r="1497" spans="2:2" x14ac:dyDescent="0.2">
      <c r="B1497" s="2" t="s">
        <v>2269</v>
      </c>
    </row>
    <row r="1498" spans="2:2" x14ac:dyDescent="0.2">
      <c r="B1498" s="2" t="s">
        <v>2270</v>
      </c>
    </row>
    <row r="1499" spans="2:2" x14ac:dyDescent="0.2">
      <c r="B1499" s="2" t="s">
        <v>2271</v>
      </c>
    </row>
    <row r="1500" spans="2:2" x14ac:dyDescent="0.2">
      <c r="B1500" s="2" t="s">
        <v>2272</v>
      </c>
    </row>
    <row r="1501" spans="2:2" x14ac:dyDescent="0.2">
      <c r="B1501" s="2" t="s">
        <v>2273</v>
      </c>
    </row>
    <row r="1502" spans="2:2" x14ac:dyDescent="0.2">
      <c r="B1502" s="2" t="s">
        <v>2274</v>
      </c>
    </row>
    <row r="1503" spans="2:2" x14ac:dyDescent="0.2">
      <c r="B1503" s="2" t="s">
        <v>2275</v>
      </c>
    </row>
    <row r="1504" spans="2:2" x14ac:dyDescent="0.2">
      <c r="B1504" s="2" t="s">
        <v>2276</v>
      </c>
    </row>
    <row r="1505" spans="2:2" x14ac:dyDescent="0.2">
      <c r="B1505" s="2" t="s">
        <v>2277</v>
      </c>
    </row>
    <row r="1506" spans="2:2" x14ac:dyDescent="0.2">
      <c r="B1506" s="2" t="s">
        <v>2278</v>
      </c>
    </row>
    <row r="1507" spans="2:2" x14ac:dyDescent="0.2">
      <c r="B1507" s="2" t="s">
        <v>2279</v>
      </c>
    </row>
    <row r="1508" spans="2:2" x14ac:dyDescent="0.2">
      <c r="B1508" s="2" t="s">
        <v>2280</v>
      </c>
    </row>
    <row r="1509" spans="2:2" x14ac:dyDescent="0.2">
      <c r="B1509" s="2" t="s">
        <v>2281</v>
      </c>
    </row>
    <row r="1510" spans="2:2" x14ac:dyDescent="0.2">
      <c r="B1510" s="2" t="s">
        <v>2282</v>
      </c>
    </row>
    <row r="1511" spans="2:2" x14ac:dyDescent="0.2">
      <c r="B1511" s="2" t="s">
        <v>2283</v>
      </c>
    </row>
    <row r="1512" spans="2:2" x14ac:dyDescent="0.2">
      <c r="B1512" s="2" t="s">
        <v>2284</v>
      </c>
    </row>
    <row r="1513" spans="2:2" x14ac:dyDescent="0.2">
      <c r="B1513" s="2" t="s">
        <v>2285</v>
      </c>
    </row>
    <row r="1514" spans="2:2" x14ac:dyDescent="0.2">
      <c r="B1514" s="2" t="s">
        <v>2286</v>
      </c>
    </row>
    <row r="1515" spans="2:2" x14ac:dyDescent="0.2">
      <c r="B1515" s="2" t="s">
        <v>2287</v>
      </c>
    </row>
    <row r="1516" spans="2:2" x14ac:dyDescent="0.2">
      <c r="B1516" s="2" t="s">
        <v>2288</v>
      </c>
    </row>
    <row r="1517" spans="2:2" x14ac:dyDescent="0.2">
      <c r="B1517" s="2" t="s">
        <v>2289</v>
      </c>
    </row>
    <row r="1518" spans="2:2" x14ac:dyDescent="0.2">
      <c r="B1518" s="2" t="s">
        <v>2290</v>
      </c>
    </row>
    <row r="1519" spans="2:2" x14ac:dyDescent="0.2">
      <c r="B1519" s="2" t="s">
        <v>2291</v>
      </c>
    </row>
    <row r="1520" spans="2:2" x14ac:dyDescent="0.2">
      <c r="B1520" s="2" t="s">
        <v>2292</v>
      </c>
    </row>
    <row r="1521" spans="2:2" x14ac:dyDescent="0.2">
      <c r="B1521" s="2" t="s">
        <v>2293</v>
      </c>
    </row>
    <row r="1522" spans="2:2" x14ac:dyDescent="0.2">
      <c r="B1522" s="2" t="s">
        <v>2294</v>
      </c>
    </row>
    <row r="1523" spans="2:2" x14ac:dyDescent="0.2">
      <c r="B1523" s="2" t="s">
        <v>2295</v>
      </c>
    </row>
    <row r="1524" spans="2:2" x14ac:dyDescent="0.2">
      <c r="B1524" s="2" t="s">
        <v>2296</v>
      </c>
    </row>
    <row r="1525" spans="2:2" x14ac:dyDescent="0.2">
      <c r="B1525" s="2" t="s">
        <v>2297</v>
      </c>
    </row>
    <row r="1526" spans="2:2" x14ac:dyDescent="0.2">
      <c r="B1526" s="2" t="s">
        <v>2298</v>
      </c>
    </row>
    <row r="1527" spans="2:2" x14ac:dyDescent="0.2">
      <c r="B1527" s="2" t="s">
        <v>2299</v>
      </c>
    </row>
    <row r="1528" spans="2:2" x14ac:dyDescent="0.2">
      <c r="B1528" s="2" t="s">
        <v>2300</v>
      </c>
    </row>
    <row r="1529" spans="2:2" x14ac:dyDescent="0.2">
      <c r="B1529" s="2" t="s">
        <v>2301</v>
      </c>
    </row>
    <row r="1530" spans="2:2" x14ac:dyDescent="0.2">
      <c r="B1530" s="2" t="s">
        <v>2302</v>
      </c>
    </row>
    <row r="1531" spans="2:2" x14ac:dyDescent="0.2">
      <c r="B1531" s="2" t="s">
        <v>2303</v>
      </c>
    </row>
    <row r="1532" spans="2:2" x14ac:dyDescent="0.2">
      <c r="B1532" s="2" t="s">
        <v>2304</v>
      </c>
    </row>
    <row r="1533" spans="2:2" x14ac:dyDescent="0.2">
      <c r="B1533" s="2" t="s">
        <v>2305</v>
      </c>
    </row>
    <row r="1534" spans="2:2" x14ac:dyDescent="0.2">
      <c r="B1534" s="2" t="s">
        <v>2306</v>
      </c>
    </row>
    <row r="1535" spans="2:2" x14ac:dyDescent="0.2">
      <c r="B1535" s="2" t="s">
        <v>2307</v>
      </c>
    </row>
    <row r="1536" spans="2:2" x14ac:dyDescent="0.2">
      <c r="B1536" s="2" t="s">
        <v>2308</v>
      </c>
    </row>
    <row r="1537" spans="2:2" x14ac:dyDescent="0.2">
      <c r="B1537" s="2" t="s">
        <v>2309</v>
      </c>
    </row>
    <row r="1538" spans="2:2" x14ac:dyDescent="0.2">
      <c r="B1538" s="2" t="s">
        <v>2310</v>
      </c>
    </row>
    <row r="1539" spans="2:2" x14ac:dyDescent="0.2">
      <c r="B1539" s="2" t="s">
        <v>2311</v>
      </c>
    </row>
    <row r="1540" spans="2:2" x14ac:dyDescent="0.2">
      <c r="B1540" s="2" t="s">
        <v>2312</v>
      </c>
    </row>
    <row r="1541" spans="2:2" x14ac:dyDescent="0.2">
      <c r="B1541" s="2" t="s">
        <v>2313</v>
      </c>
    </row>
    <row r="1542" spans="2:2" x14ac:dyDescent="0.2">
      <c r="B1542" s="2" t="s">
        <v>2314</v>
      </c>
    </row>
    <row r="1543" spans="2:2" x14ac:dyDescent="0.2">
      <c r="B1543" s="2" t="s">
        <v>2315</v>
      </c>
    </row>
    <row r="1544" spans="2:2" x14ac:dyDescent="0.2">
      <c r="B1544" s="2" t="s">
        <v>2316</v>
      </c>
    </row>
    <row r="1545" spans="2:2" x14ac:dyDescent="0.2">
      <c r="B1545" s="2" t="s">
        <v>2317</v>
      </c>
    </row>
    <row r="1546" spans="2:2" x14ac:dyDescent="0.2">
      <c r="B1546" s="2" t="s">
        <v>2318</v>
      </c>
    </row>
    <row r="1547" spans="2:2" x14ac:dyDescent="0.2">
      <c r="B1547" s="2" t="s">
        <v>2319</v>
      </c>
    </row>
    <row r="1548" spans="2:2" x14ac:dyDescent="0.2">
      <c r="B1548" s="2" t="s">
        <v>2320</v>
      </c>
    </row>
    <row r="1549" spans="2:2" x14ac:dyDescent="0.2">
      <c r="B1549" s="2" t="s">
        <v>2321</v>
      </c>
    </row>
    <row r="1550" spans="2:2" x14ac:dyDescent="0.2">
      <c r="B1550" s="2" t="s">
        <v>2322</v>
      </c>
    </row>
    <row r="1551" spans="2:2" x14ac:dyDescent="0.2">
      <c r="B1551" s="2" t="s">
        <v>2323</v>
      </c>
    </row>
    <row r="1552" spans="2:2" x14ac:dyDescent="0.2">
      <c r="B1552" s="2" t="s">
        <v>2324</v>
      </c>
    </row>
    <row r="1553" spans="2:2" x14ac:dyDescent="0.2">
      <c r="B1553" s="2" t="s">
        <v>2325</v>
      </c>
    </row>
    <row r="1554" spans="2:2" x14ac:dyDescent="0.2">
      <c r="B1554" s="2" t="s">
        <v>2326</v>
      </c>
    </row>
    <row r="1555" spans="2:2" x14ac:dyDescent="0.2">
      <c r="B1555" s="2" t="s">
        <v>2327</v>
      </c>
    </row>
    <row r="1556" spans="2:2" x14ac:dyDescent="0.2">
      <c r="B1556" s="2" t="s">
        <v>2328</v>
      </c>
    </row>
    <row r="1557" spans="2:2" x14ac:dyDescent="0.2">
      <c r="B1557" s="2" t="s">
        <v>2329</v>
      </c>
    </row>
    <row r="1558" spans="2:2" x14ac:dyDescent="0.2">
      <c r="B1558" s="2" t="s">
        <v>2330</v>
      </c>
    </row>
    <row r="1559" spans="2:2" x14ac:dyDescent="0.2">
      <c r="B1559" s="2" t="s">
        <v>2331</v>
      </c>
    </row>
    <row r="1560" spans="2:2" x14ac:dyDescent="0.2">
      <c r="B1560" s="2" t="s">
        <v>2332</v>
      </c>
    </row>
    <row r="1561" spans="2:2" x14ac:dyDescent="0.2">
      <c r="B1561" s="2" t="s">
        <v>2333</v>
      </c>
    </row>
    <row r="1562" spans="2:2" x14ac:dyDescent="0.2">
      <c r="B1562" s="2" t="s">
        <v>2334</v>
      </c>
    </row>
    <row r="1563" spans="2:2" x14ac:dyDescent="0.2">
      <c r="B1563" s="2" t="s">
        <v>2335</v>
      </c>
    </row>
    <row r="1564" spans="2:2" x14ac:dyDescent="0.2">
      <c r="B1564" s="2" t="s">
        <v>2336</v>
      </c>
    </row>
    <row r="1565" spans="2:2" x14ac:dyDescent="0.2">
      <c r="B1565" s="2" t="s">
        <v>2337</v>
      </c>
    </row>
    <row r="1566" spans="2:2" x14ac:dyDescent="0.2">
      <c r="B1566" s="2" t="s">
        <v>2338</v>
      </c>
    </row>
    <row r="1567" spans="2:2" x14ac:dyDescent="0.2">
      <c r="B1567" s="2" t="s">
        <v>2339</v>
      </c>
    </row>
    <row r="1568" spans="2:2" x14ac:dyDescent="0.2">
      <c r="B1568" s="2" t="s">
        <v>2340</v>
      </c>
    </row>
    <row r="1569" spans="2:2" x14ac:dyDescent="0.2">
      <c r="B1569" s="2" t="s">
        <v>2341</v>
      </c>
    </row>
    <row r="1570" spans="2:2" x14ac:dyDescent="0.2">
      <c r="B1570" s="2" t="s">
        <v>2342</v>
      </c>
    </row>
    <row r="1571" spans="2:2" x14ac:dyDescent="0.2">
      <c r="B1571" s="2" t="s">
        <v>2343</v>
      </c>
    </row>
    <row r="1572" spans="2:2" x14ac:dyDescent="0.2">
      <c r="B1572" s="2" t="s">
        <v>2344</v>
      </c>
    </row>
    <row r="1573" spans="2:2" x14ac:dyDescent="0.2">
      <c r="B1573" s="2" t="s">
        <v>2345</v>
      </c>
    </row>
    <row r="1574" spans="2:2" x14ac:dyDescent="0.2">
      <c r="B1574" s="2" t="s">
        <v>2346</v>
      </c>
    </row>
    <row r="1575" spans="2:2" x14ac:dyDescent="0.2">
      <c r="B1575" s="2" t="s">
        <v>2347</v>
      </c>
    </row>
    <row r="1576" spans="2:2" x14ac:dyDescent="0.2">
      <c r="B1576" s="2" t="s">
        <v>2348</v>
      </c>
    </row>
    <row r="1577" spans="2:2" x14ac:dyDescent="0.2">
      <c r="B1577" s="2" t="s">
        <v>2349</v>
      </c>
    </row>
    <row r="1578" spans="2:2" x14ac:dyDescent="0.2">
      <c r="B1578" s="2" t="s">
        <v>2350</v>
      </c>
    </row>
    <row r="1579" spans="2:2" x14ac:dyDescent="0.2">
      <c r="B1579" s="2" t="s">
        <v>2351</v>
      </c>
    </row>
    <row r="1580" spans="2:2" x14ac:dyDescent="0.2">
      <c r="B1580" s="2" t="s">
        <v>2352</v>
      </c>
    </row>
    <row r="1581" spans="2:2" x14ac:dyDescent="0.2">
      <c r="B1581" s="2" t="s">
        <v>2353</v>
      </c>
    </row>
    <row r="1582" spans="2:2" x14ac:dyDescent="0.2">
      <c r="B1582" s="2" t="s">
        <v>2354</v>
      </c>
    </row>
    <row r="1583" spans="2:2" x14ac:dyDescent="0.2">
      <c r="B1583" s="2" t="s">
        <v>2355</v>
      </c>
    </row>
    <row r="1584" spans="2:2" x14ac:dyDescent="0.2">
      <c r="B1584" s="2" t="s">
        <v>2356</v>
      </c>
    </row>
    <row r="1585" spans="2:2" x14ac:dyDescent="0.2">
      <c r="B1585" s="2" t="s">
        <v>2357</v>
      </c>
    </row>
    <row r="1586" spans="2:2" x14ac:dyDescent="0.2">
      <c r="B1586" s="2" t="s">
        <v>2358</v>
      </c>
    </row>
    <row r="1587" spans="2:2" x14ac:dyDescent="0.2">
      <c r="B1587" s="2" t="s">
        <v>2359</v>
      </c>
    </row>
    <row r="1588" spans="2:2" x14ac:dyDescent="0.2">
      <c r="B1588" s="2" t="s">
        <v>2360</v>
      </c>
    </row>
    <row r="1589" spans="2:2" x14ac:dyDescent="0.2">
      <c r="B1589" s="2" t="s">
        <v>2361</v>
      </c>
    </row>
    <row r="1590" spans="2:2" x14ac:dyDescent="0.2">
      <c r="B1590" s="2" t="s">
        <v>2362</v>
      </c>
    </row>
    <row r="1591" spans="2:2" x14ac:dyDescent="0.2">
      <c r="B1591" s="2" t="s">
        <v>2363</v>
      </c>
    </row>
    <row r="1592" spans="2:2" x14ac:dyDescent="0.2">
      <c r="B1592" s="2" t="s">
        <v>2364</v>
      </c>
    </row>
    <row r="1593" spans="2:2" x14ac:dyDescent="0.2">
      <c r="B1593" s="2" t="s">
        <v>2365</v>
      </c>
    </row>
    <row r="1594" spans="2:2" x14ac:dyDescent="0.2">
      <c r="B1594" s="2" t="s">
        <v>2366</v>
      </c>
    </row>
    <row r="1595" spans="2:2" x14ac:dyDescent="0.2">
      <c r="B1595" s="2" t="s">
        <v>2367</v>
      </c>
    </row>
    <row r="1596" spans="2:2" x14ac:dyDescent="0.2">
      <c r="B1596" s="2" t="s">
        <v>2368</v>
      </c>
    </row>
    <row r="1597" spans="2:2" x14ac:dyDescent="0.2">
      <c r="B1597" s="2" t="s">
        <v>2369</v>
      </c>
    </row>
    <row r="1598" spans="2:2" x14ac:dyDescent="0.2">
      <c r="B1598" s="2" t="s">
        <v>2370</v>
      </c>
    </row>
    <row r="1599" spans="2:2" x14ac:dyDescent="0.2">
      <c r="B1599" s="2" t="s">
        <v>2371</v>
      </c>
    </row>
    <row r="1600" spans="2:2" x14ac:dyDescent="0.2">
      <c r="B1600" s="2" t="s">
        <v>2372</v>
      </c>
    </row>
    <row r="1601" spans="2:2" x14ac:dyDescent="0.2">
      <c r="B1601" s="2" t="s">
        <v>2373</v>
      </c>
    </row>
    <row r="1602" spans="2:2" x14ac:dyDescent="0.2">
      <c r="B1602" s="2" t="s">
        <v>2374</v>
      </c>
    </row>
    <row r="1603" spans="2:2" x14ac:dyDescent="0.2">
      <c r="B1603" s="2" t="s">
        <v>2375</v>
      </c>
    </row>
    <row r="1604" spans="2:2" x14ac:dyDescent="0.2">
      <c r="B1604" s="2" t="s">
        <v>2376</v>
      </c>
    </row>
    <row r="1605" spans="2:2" x14ac:dyDescent="0.2">
      <c r="B1605" s="2" t="s">
        <v>2377</v>
      </c>
    </row>
    <row r="1606" spans="2:2" x14ac:dyDescent="0.2">
      <c r="B1606" s="2" t="s">
        <v>2378</v>
      </c>
    </row>
    <row r="1607" spans="2:2" x14ac:dyDescent="0.2">
      <c r="B1607" s="2" t="s">
        <v>2379</v>
      </c>
    </row>
    <row r="1608" spans="2:2" x14ac:dyDescent="0.2">
      <c r="B1608" s="2" t="s">
        <v>2380</v>
      </c>
    </row>
    <row r="1609" spans="2:2" x14ac:dyDescent="0.2">
      <c r="B1609" s="2" t="s">
        <v>2381</v>
      </c>
    </row>
    <row r="1610" spans="2:2" x14ac:dyDescent="0.2">
      <c r="B1610" s="2" t="s">
        <v>2382</v>
      </c>
    </row>
    <row r="1611" spans="2:2" x14ac:dyDescent="0.2">
      <c r="B1611" s="2" t="s">
        <v>2383</v>
      </c>
    </row>
    <row r="1612" spans="2:2" x14ac:dyDescent="0.2">
      <c r="B1612" s="2" t="s">
        <v>2384</v>
      </c>
    </row>
    <row r="1613" spans="2:2" x14ac:dyDescent="0.2">
      <c r="B1613" s="2" t="s">
        <v>2385</v>
      </c>
    </row>
    <row r="1614" spans="2:2" x14ac:dyDescent="0.2">
      <c r="B1614" s="2" t="s">
        <v>2386</v>
      </c>
    </row>
    <row r="1615" spans="2:2" x14ac:dyDescent="0.2">
      <c r="B1615" s="2" t="s">
        <v>2387</v>
      </c>
    </row>
    <row r="1616" spans="2:2" x14ac:dyDescent="0.2">
      <c r="B1616" s="2" t="s">
        <v>2388</v>
      </c>
    </row>
    <row r="1617" spans="2:2" x14ac:dyDescent="0.2">
      <c r="B1617" s="2" t="s">
        <v>2389</v>
      </c>
    </row>
    <row r="1618" spans="2:2" x14ac:dyDescent="0.2">
      <c r="B1618" s="2" t="s">
        <v>2390</v>
      </c>
    </row>
    <row r="1619" spans="2:2" x14ac:dyDescent="0.2">
      <c r="B1619" s="2" t="s">
        <v>2391</v>
      </c>
    </row>
    <row r="1620" spans="2:2" x14ac:dyDescent="0.2">
      <c r="B1620" s="2" t="s">
        <v>2392</v>
      </c>
    </row>
    <row r="1621" spans="2:2" x14ac:dyDescent="0.2">
      <c r="B1621" s="2" t="s">
        <v>2393</v>
      </c>
    </row>
    <row r="1622" spans="2:2" x14ac:dyDescent="0.2">
      <c r="B1622" s="2" t="s">
        <v>2394</v>
      </c>
    </row>
    <row r="1623" spans="2:2" x14ac:dyDescent="0.2">
      <c r="B1623" s="2" t="s">
        <v>2395</v>
      </c>
    </row>
    <row r="1624" spans="2:2" x14ac:dyDescent="0.2">
      <c r="B1624" s="2" t="s">
        <v>2396</v>
      </c>
    </row>
    <row r="1625" spans="2:2" x14ac:dyDescent="0.2">
      <c r="B1625" s="2" t="s">
        <v>2397</v>
      </c>
    </row>
    <row r="1626" spans="2:2" x14ac:dyDescent="0.2">
      <c r="B1626" s="2" t="s">
        <v>2398</v>
      </c>
    </row>
    <row r="1627" spans="2:2" x14ac:dyDescent="0.2">
      <c r="B1627" s="2" t="s">
        <v>2399</v>
      </c>
    </row>
    <row r="1628" spans="2:2" x14ac:dyDescent="0.2">
      <c r="B1628" s="2" t="s">
        <v>2400</v>
      </c>
    </row>
    <row r="1629" spans="2:2" x14ac:dyDescent="0.2">
      <c r="B1629" s="2" t="s">
        <v>2401</v>
      </c>
    </row>
    <row r="1630" spans="2:2" x14ac:dyDescent="0.2">
      <c r="B1630" s="2" t="s">
        <v>2402</v>
      </c>
    </row>
    <row r="1631" spans="2:2" x14ac:dyDescent="0.2">
      <c r="B1631" s="2" t="s">
        <v>2403</v>
      </c>
    </row>
    <row r="1632" spans="2:2" x14ac:dyDescent="0.2">
      <c r="B1632" s="2" t="s">
        <v>2404</v>
      </c>
    </row>
    <row r="1633" spans="2:2" x14ac:dyDescent="0.2">
      <c r="B1633" s="2" t="s">
        <v>2405</v>
      </c>
    </row>
    <row r="1634" spans="2:2" x14ac:dyDescent="0.2">
      <c r="B1634" s="2" t="s">
        <v>2406</v>
      </c>
    </row>
    <row r="1635" spans="2:2" x14ac:dyDescent="0.2">
      <c r="B1635" s="2" t="s">
        <v>2407</v>
      </c>
    </row>
    <row r="1636" spans="2:2" x14ac:dyDescent="0.2">
      <c r="B1636" s="2" t="s">
        <v>2408</v>
      </c>
    </row>
    <row r="1637" spans="2:2" x14ac:dyDescent="0.2">
      <c r="B1637" s="2" t="s">
        <v>2409</v>
      </c>
    </row>
    <row r="1638" spans="2:2" x14ac:dyDescent="0.2">
      <c r="B1638" s="2" t="s">
        <v>2410</v>
      </c>
    </row>
    <row r="1639" spans="2:2" x14ac:dyDescent="0.2">
      <c r="B1639" s="2" t="s">
        <v>2411</v>
      </c>
    </row>
    <row r="1640" spans="2:2" x14ac:dyDescent="0.2">
      <c r="B1640" s="2" t="s">
        <v>2412</v>
      </c>
    </row>
    <row r="1641" spans="2:2" x14ac:dyDescent="0.2">
      <c r="B1641" s="2" t="s">
        <v>2413</v>
      </c>
    </row>
    <row r="1642" spans="2:2" x14ac:dyDescent="0.2">
      <c r="B1642" s="2" t="s">
        <v>2414</v>
      </c>
    </row>
    <row r="1643" spans="2:2" x14ac:dyDescent="0.2">
      <c r="B1643" s="2" t="s">
        <v>2415</v>
      </c>
    </row>
    <row r="1644" spans="2:2" x14ac:dyDescent="0.2">
      <c r="B1644" s="2" t="s">
        <v>2416</v>
      </c>
    </row>
    <row r="1645" spans="2:2" x14ac:dyDescent="0.2">
      <c r="B1645" s="2" t="s">
        <v>2417</v>
      </c>
    </row>
    <row r="1646" spans="2:2" x14ac:dyDescent="0.2">
      <c r="B1646" s="2" t="s">
        <v>2418</v>
      </c>
    </row>
    <row r="1647" spans="2:2" x14ac:dyDescent="0.2">
      <c r="B1647" s="2" t="s">
        <v>2419</v>
      </c>
    </row>
    <row r="1648" spans="2:2" x14ac:dyDescent="0.2">
      <c r="B1648" s="2" t="s">
        <v>2420</v>
      </c>
    </row>
    <row r="1649" spans="2:2" x14ac:dyDescent="0.2">
      <c r="B1649" s="2" t="s">
        <v>2421</v>
      </c>
    </row>
    <row r="1650" spans="2:2" x14ac:dyDescent="0.2">
      <c r="B1650" s="2" t="s">
        <v>2422</v>
      </c>
    </row>
    <row r="1651" spans="2:2" x14ac:dyDescent="0.2">
      <c r="B1651" s="2" t="s">
        <v>2423</v>
      </c>
    </row>
    <row r="1652" spans="2:2" x14ac:dyDescent="0.2">
      <c r="B1652" s="2" t="s">
        <v>2424</v>
      </c>
    </row>
    <row r="1653" spans="2:2" x14ac:dyDescent="0.2">
      <c r="B1653" s="2" t="s">
        <v>2425</v>
      </c>
    </row>
    <row r="1654" spans="2:2" x14ac:dyDescent="0.2">
      <c r="B1654" s="2" t="s">
        <v>2426</v>
      </c>
    </row>
    <row r="1655" spans="2:2" x14ac:dyDescent="0.2">
      <c r="B1655" s="2" t="s">
        <v>2427</v>
      </c>
    </row>
    <row r="1656" spans="2:2" x14ac:dyDescent="0.2">
      <c r="B1656" s="2" t="s">
        <v>2428</v>
      </c>
    </row>
    <row r="1657" spans="2:2" x14ac:dyDescent="0.2">
      <c r="B1657" s="2" t="s">
        <v>2429</v>
      </c>
    </row>
    <row r="1658" spans="2:2" x14ac:dyDescent="0.2">
      <c r="B1658" s="2" t="s">
        <v>2430</v>
      </c>
    </row>
    <row r="1659" spans="2:2" x14ac:dyDescent="0.2">
      <c r="B1659" s="2" t="s">
        <v>2431</v>
      </c>
    </row>
    <row r="1660" spans="2:2" x14ac:dyDescent="0.2">
      <c r="B1660" s="2" t="s">
        <v>2432</v>
      </c>
    </row>
    <row r="1661" spans="2:2" x14ac:dyDescent="0.2">
      <c r="B1661" s="2" t="s">
        <v>2433</v>
      </c>
    </row>
    <row r="1662" spans="2:2" x14ac:dyDescent="0.2">
      <c r="B1662" s="2" t="s">
        <v>2434</v>
      </c>
    </row>
    <row r="1663" spans="2:2" x14ac:dyDescent="0.2">
      <c r="B1663" s="2" t="s">
        <v>2435</v>
      </c>
    </row>
    <row r="1664" spans="2:2" x14ac:dyDescent="0.2">
      <c r="B1664" s="2" t="s">
        <v>2436</v>
      </c>
    </row>
    <row r="1665" spans="2:2" x14ac:dyDescent="0.2">
      <c r="B1665" s="2" t="s">
        <v>2437</v>
      </c>
    </row>
    <row r="1666" spans="2:2" x14ac:dyDescent="0.2">
      <c r="B1666" s="2" t="s">
        <v>2438</v>
      </c>
    </row>
    <row r="1667" spans="2:2" x14ac:dyDescent="0.2">
      <c r="B1667" s="2" t="s">
        <v>2439</v>
      </c>
    </row>
    <row r="1668" spans="2:2" x14ac:dyDescent="0.2">
      <c r="B1668" s="2" t="s">
        <v>2440</v>
      </c>
    </row>
    <row r="1669" spans="2:2" x14ac:dyDescent="0.2">
      <c r="B1669" s="2" t="s">
        <v>2441</v>
      </c>
    </row>
    <row r="1670" spans="2:2" x14ac:dyDescent="0.2">
      <c r="B1670" s="2" t="s">
        <v>2442</v>
      </c>
    </row>
    <row r="1671" spans="2:2" x14ac:dyDescent="0.2">
      <c r="B1671" s="2" t="s">
        <v>2443</v>
      </c>
    </row>
    <row r="1672" spans="2:2" x14ac:dyDescent="0.2">
      <c r="B1672" s="2" t="s">
        <v>2444</v>
      </c>
    </row>
    <row r="1673" spans="2:2" x14ac:dyDescent="0.2">
      <c r="B1673" s="2" t="s">
        <v>2445</v>
      </c>
    </row>
    <row r="1674" spans="2:2" x14ac:dyDescent="0.2">
      <c r="B1674" s="2" t="s">
        <v>2446</v>
      </c>
    </row>
    <row r="1675" spans="2:2" x14ac:dyDescent="0.2">
      <c r="B1675" s="2" t="s">
        <v>2447</v>
      </c>
    </row>
    <row r="1676" spans="2:2" x14ac:dyDescent="0.2">
      <c r="B1676" s="2" t="s">
        <v>2448</v>
      </c>
    </row>
    <row r="1677" spans="2:2" x14ac:dyDescent="0.2">
      <c r="B1677" s="2" t="s">
        <v>2449</v>
      </c>
    </row>
    <row r="1678" spans="2:2" x14ac:dyDescent="0.2">
      <c r="B1678" s="2" t="s">
        <v>2450</v>
      </c>
    </row>
    <row r="1679" spans="2:2" x14ac:dyDescent="0.2">
      <c r="B1679" s="2" t="s">
        <v>2451</v>
      </c>
    </row>
    <row r="1680" spans="2:2" x14ac:dyDescent="0.2">
      <c r="B1680" s="2" t="s">
        <v>2452</v>
      </c>
    </row>
    <row r="1681" spans="2:2" x14ac:dyDescent="0.2">
      <c r="B1681" s="2" t="s">
        <v>2453</v>
      </c>
    </row>
    <row r="1682" spans="2:2" x14ac:dyDescent="0.2">
      <c r="B1682" s="2" t="s">
        <v>2454</v>
      </c>
    </row>
    <row r="1683" spans="2:2" x14ac:dyDescent="0.2">
      <c r="B1683" s="2" t="s">
        <v>2455</v>
      </c>
    </row>
    <row r="1684" spans="2:2" x14ac:dyDescent="0.2">
      <c r="B1684" s="2" t="s">
        <v>2456</v>
      </c>
    </row>
    <row r="1685" spans="2:2" x14ac:dyDescent="0.2">
      <c r="B1685" s="2" t="s">
        <v>2457</v>
      </c>
    </row>
    <row r="1686" spans="2:2" x14ac:dyDescent="0.2">
      <c r="B1686" s="2" t="s">
        <v>2458</v>
      </c>
    </row>
    <row r="1687" spans="2:2" x14ac:dyDescent="0.2">
      <c r="B1687" s="2" t="s">
        <v>2459</v>
      </c>
    </row>
    <row r="1688" spans="2:2" x14ac:dyDescent="0.2">
      <c r="B1688" s="2" t="s">
        <v>2460</v>
      </c>
    </row>
    <row r="1689" spans="2:2" x14ac:dyDescent="0.2">
      <c r="B1689" s="2" t="s">
        <v>2461</v>
      </c>
    </row>
    <row r="1690" spans="2:2" x14ac:dyDescent="0.2">
      <c r="B1690" s="2" t="s">
        <v>2462</v>
      </c>
    </row>
    <row r="1691" spans="2:2" x14ac:dyDescent="0.2">
      <c r="B1691" s="2" t="s">
        <v>2463</v>
      </c>
    </row>
    <row r="1692" spans="2:2" x14ac:dyDescent="0.2">
      <c r="B1692" s="2" t="s">
        <v>2464</v>
      </c>
    </row>
    <row r="1693" spans="2:2" x14ac:dyDescent="0.2">
      <c r="B1693" s="2" t="s">
        <v>2465</v>
      </c>
    </row>
    <row r="1694" spans="2:2" x14ac:dyDescent="0.2">
      <c r="B1694" s="2" t="s">
        <v>2466</v>
      </c>
    </row>
    <row r="1695" spans="2:2" x14ac:dyDescent="0.2">
      <c r="B1695" s="2" t="s">
        <v>2467</v>
      </c>
    </row>
    <row r="1696" spans="2:2" x14ac:dyDescent="0.2">
      <c r="B1696" s="2" t="s">
        <v>2468</v>
      </c>
    </row>
    <row r="1697" spans="2:2" x14ac:dyDescent="0.2">
      <c r="B1697" s="2" t="s">
        <v>2469</v>
      </c>
    </row>
    <row r="1698" spans="2:2" x14ac:dyDescent="0.2">
      <c r="B1698" s="2" t="s">
        <v>2470</v>
      </c>
    </row>
    <row r="1699" spans="2:2" x14ac:dyDescent="0.2">
      <c r="B1699" s="2" t="s">
        <v>2471</v>
      </c>
    </row>
    <row r="1700" spans="2:2" x14ac:dyDescent="0.2">
      <c r="B1700" s="2" t="s">
        <v>2472</v>
      </c>
    </row>
    <row r="1701" spans="2:2" x14ac:dyDescent="0.2">
      <c r="B1701" s="2" t="s">
        <v>2473</v>
      </c>
    </row>
    <row r="1702" spans="2:2" x14ac:dyDescent="0.2">
      <c r="B1702" s="2" t="s">
        <v>2474</v>
      </c>
    </row>
    <row r="1703" spans="2:2" x14ac:dyDescent="0.2">
      <c r="B1703" s="2" t="s">
        <v>2475</v>
      </c>
    </row>
    <row r="1704" spans="2:2" x14ac:dyDescent="0.2">
      <c r="B1704" s="2" t="s">
        <v>2476</v>
      </c>
    </row>
    <row r="1705" spans="2:2" x14ac:dyDescent="0.2">
      <c r="B1705" s="2" t="s">
        <v>2477</v>
      </c>
    </row>
    <row r="1706" spans="2:2" x14ac:dyDescent="0.2">
      <c r="B1706" s="2" t="s">
        <v>2478</v>
      </c>
    </row>
    <row r="1707" spans="2:2" x14ac:dyDescent="0.2">
      <c r="B1707" s="2" t="s">
        <v>2479</v>
      </c>
    </row>
    <row r="1708" spans="2:2" x14ac:dyDescent="0.2">
      <c r="B1708" s="2" t="s">
        <v>2480</v>
      </c>
    </row>
    <row r="1709" spans="2:2" x14ac:dyDescent="0.2">
      <c r="B1709" s="2" t="s">
        <v>2481</v>
      </c>
    </row>
    <row r="1710" spans="2:2" x14ac:dyDescent="0.2">
      <c r="B1710" s="2" t="s">
        <v>2482</v>
      </c>
    </row>
    <row r="1711" spans="2:2" x14ac:dyDescent="0.2">
      <c r="B1711" s="2" t="s">
        <v>2483</v>
      </c>
    </row>
    <row r="1712" spans="2:2" x14ac:dyDescent="0.2">
      <c r="B1712" s="2" t="s">
        <v>2484</v>
      </c>
    </row>
    <row r="1713" spans="2:2" x14ac:dyDescent="0.2">
      <c r="B1713" s="2" t="s">
        <v>2485</v>
      </c>
    </row>
    <row r="1714" spans="2:2" x14ac:dyDescent="0.2">
      <c r="B1714" s="2" t="s">
        <v>2486</v>
      </c>
    </row>
    <row r="1715" spans="2:2" x14ac:dyDescent="0.2">
      <c r="B1715" s="2" t="s">
        <v>2487</v>
      </c>
    </row>
    <row r="1716" spans="2:2" x14ac:dyDescent="0.2">
      <c r="B1716" s="2" t="s">
        <v>2488</v>
      </c>
    </row>
    <row r="1717" spans="2:2" x14ac:dyDescent="0.2">
      <c r="B1717" s="2" t="s">
        <v>2489</v>
      </c>
    </row>
    <row r="1718" spans="2:2" x14ac:dyDescent="0.2">
      <c r="B1718" s="2" t="s">
        <v>2490</v>
      </c>
    </row>
    <row r="1719" spans="2:2" x14ac:dyDescent="0.2">
      <c r="B1719" s="2" t="s">
        <v>2491</v>
      </c>
    </row>
    <row r="1720" spans="2:2" x14ac:dyDescent="0.2">
      <c r="B1720" s="2" t="s">
        <v>2492</v>
      </c>
    </row>
    <row r="1721" spans="2:2" x14ac:dyDescent="0.2">
      <c r="B1721" s="2" t="s">
        <v>2493</v>
      </c>
    </row>
    <row r="1722" spans="2:2" x14ac:dyDescent="0.2">
      <c r="B1722" s="2" t="s">
        <v>2494</v>
      </c>
    </row>
    <row r="1723" spans="2:2" x14ac:dyDescent="0.2">
      <c r="B1723" s="2" t="s">
        <v>2495</v>
      </c>
    </row>
    <row r="1724" spans="2:2" x14ac:dyDescent="0.2">
      <c r="B1724" s="2" t="s">
        <v>2496</v>
      </c>
    </row>
    <row r="1725" spans="2:2" x14ac:dyDescent="0.2">
      <c r="B1725" s="2" t="s">
        <v>2497</v>
      </c>
    </row>
    <row r="1726" spans="2:2" x14ac:dyDescent="0.2">
      <c r="B1726" s="2" t="s">
        <v>2498</v>
      </c>
    </row>
    <row r="1727" spans="2:2" x14ac:dyDescent="0.2">
      <c r="B1727" s="2" t="s">
        <v>2499</v>
      </c>
    </row>
    <row r="1728" spans="2:2" x14ac:dyDescent="0.2">
      <c r="B1728" s="2" t="s">
        <v>2500</v>
      </c>
    </row>
    <row r="1729" spans="2:2" x14ac:dyDescent="0.2">
      <c r="B1729" s="2" t="s">
        <v>2501</v>
      </c>
    </row>
    <row r="1730" spans="2:2" x14ac:dyDescent="0.2">
      <c r="B1730" s="2" t="s">
        <v>2502</v>
      </c>
    </row>
    <row r="1731" spans="2:2" x14ac:dyDescent="0.2">
      <c r="B1731" s="2" t="s">
        <v>2503</v>
      </c>
    </row>
    <row r="1732" spans="2:2" x14ac:dyDescent="0.2">
      <c r="B1732" s="2" t="s">
        <v>2504</v>
      </c>
    </row>
    <row r="1733" spans="2:2" x14ac:dyDescent="0.2">
      <c r="B1733" s="2" t="s">
        <v>2505</v>
      </c>
    </row>
    <row r="1734" spans="2:2" x14ac:dyDescent="0.2">
      <c r="B1734" s="2" t="s">
        <v>2506</v>
      </c>
    </row>
    <row r="1735" spans="2:2" x14ac:dyDescent="0.2">
      <c r="B1735" s="2" t="s">
        <v>2507</v>
      </c>
    </row>
    <row r="1736" spans="2:2" x14ac:dyDescent="0.2">
      <c r="B1736" s="2" t="s">
        <v>2508</v>
      </c>
    </row>
    <row r="1737" spans="2:2" x14ac:dyDescent="0.2">
      <c r="B1737" s="2" t="s">
        <v>2509</v>
      </c>
    </row>
    <row r="1738" spans="2:2" x14ac:dyDescent="0.2">
      <c r="B1738" s="2" t="s">
        <v>2510</v>
      </c>
    </row>
    <row r="1739" spans="2:2" x14ac:dyDescent="0.2">
      <c r="B1739" s="2" t="s">
        <v>2511</v>
      </c>
    </row>
    <row r="1740" spans="2:2" x14ac:dyDescent="0.2">
      <c r="B1740" s="2" t="s">
        <v>2512</v>
      </c>
    </row>
    <row r="1741" spans="2:2" x14ac:dyDescent="0.2">
      <c r="B1741" s="2" t="s">
        <v>2513</v>
      </c>
    </row>
    <row r="1742" spans="2:2" x14ac:dyDescent="0.2">
      <c r="B1742" s="2" t="s">
        <v>2514</v>
      </c>
    </row>
    <row r="1743" spans="2:2" x14ac:dyDescent="0.2">
      <c r="B1743" s="2" t="s">
        <v>2515</v>
      </c>
    </row>
    <row r="1744" spans="2:2" x14ac:dyDescent="0.2">
      <c r="B1744" s="2" t="s">
        <v>2516</v>
      </c>
    </row>
    <row r="1745" spans="2:2" x14ac:dyDescent="0.2">
      <c r="B1745" s="2" t="s">
        <v>2517</v>
      </c>
    </row>
    <row r="1746" spans="2:2" x14ac:dyDescent="0.2">
      <c r="B1746" s="2" t="s">
        <v>2518</v>
      </c>
    </row>
    <row r="1747" spans="2:2" x14ac:dyDescent="0.2">
      <c r="B1747" s="2" t="s">
        <v>2519</v>
      </c>
    </row>
    <row r="1748" spans="2:2" x14ac:dyDescent="0.2">
      <c r="B1748" s="2" t="s">
        <v>2520</v>
      </c>
    </row>
    <row r="1749" spans="2:2" x14ac:dyDescent="0.2">
      <c r="B1749" s="2" t="s">
        <v>2521</v>
      </c>
    </row>
    <row r="1750" spans="2:2" x14ac:dyDescent="0.2">
      <c r="B1750" s="2" t="s">
        <v>2522</v>
      </c>
    </row>
    <row r="1751" spans="2:2" x14ac:dyDescent="0.2">
      <c r="B1751" s="2" t="s">
        <v>2523</v>
      </c>
    </row>
    <row r="1752" spans="2:2" x14ac:dyDescent="0.2">
      <c r="B1752" s="2" t="s">
        <v>2524</v>
      </c>
    </row>
    <row r="1753" spans="2:2" x14ac:dyDescent="0.2">
      <c r="B1753" s="2" t="s">
        <v>2525</v>
      </c>
    </row>
    <row r="1754" spans="2:2" x14ac:dyDescent="0.2">
      <c r="B1754" s="2" t="s">
        <v>2526</v>
      </c>
    </row>
    <row r="1755" spans="2:2" x14ac:dyDescent="0.2">
      <c r="B1755" s="2" t="s">
        <v>2527</v>
      </c>
    </row>
    <row r="1756" spans="2:2" x14ac:dyDescent="0.2">
      <c r="B1756" s="2" t="s">
        <v>2528</v>
      </c>
    </row>
    <row r="1757" spans="2:2" x14ac:dyDescent="0.2">
      <c r="B1757" s="2" t="s">
        <v>2529</v>
      </c>
    </row>
    <row r="1758" spans="2:2" x14ac:dyDescent="0.2">
      <c r="B1758" s="2" t="s">
        <v>2530</v>
      </c>
    </row>
    <row r="1759" spans="2:2" x14ac:dyDescent="0.2">
      <c r="B1759" s="2" t="s">
        <v>2531</v>
      </c>
    </row>
    <row r="1760" spans="2:2" x14ac:dyDescent="0.2">
      <c r="B1760" s="2" t="s">
        <v>2532</v>
      </c>
    </row>
    <row r="1761" spans="2:2" x14ac:dyDescent="0.2">
      <c r="B1761" s="2" t="s">
        <v>2533</v>
      </c>
    </row>
    <row r="1762" spans="2:2" x14ac:dyDescent="0.2">
      <c r="B1762" s="2" t="s">
        <v>2534</v>
      </c>
    </row>
    <row r="1763" spans="2:2" x14ac:dyDescent="0.2">
      <c r="B1763" s="2" t="s">
        <v>2535</v>
      </c>
    </row>
    <row r="1764" spans="2:2" x14ac:dyDescent="0.2">
      <c r="B1764" s="2" t="s">
        <v>2536</v>
      </c>
    </row>
    <row r="1765" spans="2:2" x14ac:dyDescent="0.2">
      <c r="B1765" s="2" t="s">
        <v>2537</v>
      </c>
    </row>
    <row r="1766" spans="2:2" x14ac:dyDescent="0.2">
      <c r="B1766" s="2" t="s">
        <v>2538</v>
      </c>
    </row>
    <row r="1767" spans="2:2" x14ac:dyDescent="0.2">
      <c r="B1767" s="2" t="s">
        <v>2539</v>
      </c>
    </row>
    <row r="1768" spans="2:2" x14ac:dyDescent="0.2">
      <c r="B1768" s="2" t="s">
        <v>2540</v>
      </c>
    </row>
    <row r="1769" spans="2:2" x14ac:dyDescent="0.2">
      <c r="B1769" s="2" t="s">
        <v>2541</v>
      </c>
    </row>
    <row r="1770" spans="2:2" x14ac:dyDescent="0.2">
      <c r="B1770" s="2" t="s">
        <v>2542</v>
      </c>
    </row>
    <row r="1771" spans="2:2" x14ac:dyDescent="0.2">
      <c r="B1771" s="2" t="s">
        <v>2543</v>
      </c>
    </row>
    <row r="1772" spans="2:2" x14ac:dyDescent="0.2">
      <c r="B1772" s="2" t="s">
        <v>2544</v>
      </c>
    </row>
    <row r="1773" spans="2:2" x14ac:dyDescent="0.2">
      <c r="B1773" s="2" t="s">
        <v>2545</v>
      </c>
    </row>
    <row r="1774" spans="2:2" x14ac:dyDescent="0.2">
      <c r="B1774" s="2" t="s">
        <v>2546</v>
      </c>
    </row>
    <row r="1775" spans="2:2" x14ac:dyDescent="0.2">
      <c r="B1775" s="2" t="s">
        <v>2547</v>
      </c>
    </row>
    <row r="1776" spans="2:2" x14ac:dyDescent="0.2">
      <c r="B1776" s="2" t="s">
        <v>2548</v>
      </c>
    </row>
    <row r="1777" spans="2:2" x14ac:dyDescent="0.2">
      <c r="B1777" s="2" t="s">
        <v>2549</v>
      </c>
    </row>
    <row r="1778" spans="2:2" x14ac:dyDescent="0.2">
      <c r="B1778" s="2" t="s">
        <v>2550</v>
      </c>
    </row>
    <row r="1779" spans="2:2" x14ac:dyDescent="0.2">
      <c r="B1779" s="2" t="s">
        <v>2551</v>
      </c>
    </row>
    <row r="1780" spans="2:2" x14ac:dyDescent="0.2">
      <c r="B1780" s="2" t="s">
        <v>2552</v>
      </c>
    </row>
    <row r="1781" spans="2:2" x14ac:dyDescent="0.2">
      <c r="B1781" s="2" t="s">
        <v>2553</v>
      </c>
    </row>
    <row r="1782" spans="2:2" x14ac:dyDescent="0.2">
      <c r="B1782" s="2" t="s">
        <v>2554</v>
      </c>
    </row>
    <row r="1783" spans="2:2" x14ac:dyDescent="0.2">
      <c r="B1783" s="2" t="s">
        <v>2555</v>
      </c>
    </row>
    <row r="1784" spans="2:2" x14ac:dyDescent="0.2">
      <c r="B1784" s="2" t="s">
        <v>2556</v>
      </c>
    </row>
    <row r="1785" spans="2:2" x14ac:dyDescent="0.2">
      <c r="B1785" s="2" t="s">
        <v>2557</v>
      </c>
    </row>
    <row r="1786" spans="2:2" x14ac:dyDescent="0.2">
      <c r="B1786" s="2" t="s">
        <v>2558</v>
      </c>
    </row>
    <row r="1787" spans="2:2" x14ac:dyDescent="0.2">
      <c r="B1787" s="2" t="s">
        <v>2559</v>
      </c>
    </row>
    <row r="1788" spans="2:2" x14ac:dyDescent="0.2">
      <c r="B1788" s="2" t="s">
        <v>2560</v>
      </c>
    </row>
    <row r="1789" spans="2:2" x14ac:dyDescent="0.2">
      <c r="B1789" s="2" t="s">
        <v>2561</v>
      </c>
    </row>
    <row r="1790" spans="2:2" x14ac:dyDescent="0.2">
      <c r="B1790" s="2" t="s">
        <v>2562</v>
      </c>
    </row>
    <row r="1791" spans="2:2" x14ac:dyDescent="0.2">
      <c r="B1791" s="2" t="s">
        <v>2563</v>
      </c>
    </row>
    <row r="1792" spans="2:2" x14ac:dyDescent="0.2">
      <c r="B1792" s="2" t="s">
        <v>2564</v>
      </c>
    </row>
    <row r="1793" spans="2:2" x14ac:dyDescent="0.2">
      <c r="B1793" s="2" t="s">
        <v>2565</v>
      </c>
    </row>
    <row r="1794" spans="2:2" x14ac:dyDescent="0.2">
      <c r="B1794" s="2" t="s">
        <v>2566</v>
      </c>
    </row>
    <row r="1795" spans="2:2" x14ac:dyDescent="0.2">
      <c r="B1795" s="2" t="s">
        <v>2567</v>
      </c>
    </row>
    <row r="1796" spans="2:2" x14ac:dyDescent="0.2">
      <c r="B1796" s="2" t="s">
        <v>2568</v>
      </c>
    </row>
    <row r="1797" spans="2:2" x14ac:dyDescent="0.2">
      <c r="B1797" s="2" t="s">
        <v>2569</v>
      </c>
    </row>
    <row r="1798" spans="2:2" x14ac:dyDescent="0.2">
      <c r="B1798" s="2" t="s">
        <v>2570</v>
      </c>
    </row>
    <row r="1799" spans="2:2" x14ac:dyDescent="0.2">
      <c r="B1799" s="2" t="s">
        <v>2571</v>
      </c>
    </row>
    <row r="1800" spans="2:2" x14ac:dyDescent="0.2">
      <c r="B1800" s="2" t="s">
        <v>2572</v>
      </c>
    </row>
    <row r="1801" spans="2:2" x14ac:dyDescent="0.2">
      <c r="B1801" s="2" t="s">
        <v>2573</v>
      </c>
    </row>
    <row r="1802" spans="2:2" x14ac:dyDescent="0.2">
      <c r="B1802" s="2" t="s">
        <v>2574</v>
      </c>
    </row>
    <row r="1803" spans="2:2" x14ac:dyDescent="0.2">
      <c r="B1803" s="2" t="s">
        <v>2575</v>
      </c>
    </row>
    <row r="1804" spans="2:2" x14ac:dyDescent="0.2">
      <c r="B1804" s="2" t="s">
        <v>2576</v>
      </c>
    </row>
    <row r="1805" spans="2:2" x14ac:dyDescent="0.2">
      <c r="B1805" s="2" t="s">
        <v>2577</v>
      </c>
    </row>
    <row r="1806" spans="2:2" x14ac:dyDescent="0.2">
      <c r="B1806" s="2" t="s">
        <v>2578</v>
      </c>
    </row>
    <row r="1807" spans="2:2" x14ac:dyDescent="0.2">
      <c r="B1807" s="2" t="s">
        <v>2579</v>
      </c>
    </row>
    <row r="1808" spans="2:2" x14ac:dyDescent="0.2">
      <c r="B1808" s="2" t="s">
        <v>2580</v>
      </c>
    </row>
    <row r="1809" spans="2:2" x14ac:dyDescent="0.2">
      <c r="B1809" s="2" t="s">
        <v>2581</v>
      </c>
    </row>
    <row r="1810" spans="2:2" x14ac:dyDescent="0.2">
      <c r="B1810" s="2" t="s">
        <v>2582</v>
      </c>
    </row>
    <row r="1811" spans="2:2" x14ac:dyDescent="0.2">
      <c r="B1811" s="2" t="s">
        <v>2583</v>
      </c>
    </row>
    <row r="1812" spans="2:2" x14ac:dyDescent="0.2">
      <c r="B1812" s="2" t="s">
        <v>2584</v>
      </c>
    </row>
    <row r="1813" spans="2:2" x14ac:dyDescent="0.2">
      <c r="B1813" s="2" t="s">
        <v>2585</v>
      </c>
    </row>
    <row r="1814" spans="2:2" x14ac:dyDescent="0.2">
      <c r="B1814" s="2" t="s">
        <v>2586</v>
      </c>
    </row>
    <row r="1815" spans="2:2" x14ac:dyDescent="0.2">
      <c r="B1815" s="2" t="s">
        <v>2587</v>
      </c>
    </row>
    <row r="1816" spans="2:2" x14ac:dyDescent="0.2">
      <c r="B1816" s="2" t="s">
        <v>2588</v>
      </c>
    </row>
    <row r="1817" spans="2:2" x14ac:dyDescent="0.2">
      <c r="B1817" s="2" t="s">
        <v>2589</v>
      </c>
    </row>
    <row r="1818" spans="2:2" x14ac:dyDescent="0.2">
      <c r="B1818" s="2" t="s">
        <v>2590</v>
      </c>
    </row>
    <row r="1819" spans="2:2" x14ac:dyDescent="0.2">
      <c r="B1819" s="2" t="s">
        <v>2591</v>
      </c>
    </row>
    <row r="1820" spans="2:2" x14ac:dyDescent="0.2">
      <c r="B1820" s="2" t="s">
        <v>2592</v>
      </c>
    </row>
    <row r="1821" spans="2:2" x14ac:dyDescent="0.2">
      <c r="B1821" s="2" t="s">
        <v>2593</v>
      </c>
    </row>
    <row r="1822" spans="2:2" x14ac:dyDescent="0.2">
      <c r="B1822" s="2" t="s">
        <v>2594</v>
      </c>
    </row>
    <row r="1823" spans="2:2" x14ac:dyDescent="0.2">
      <c r="B1823" s="2" t="s">
        <v>2595</v>
      </c>
    </row>
    <row r="1824" spans="2:2" x14ac:dyDescent="0.2">
      <c r="B1824" s="2" t="s">
        <v>2596</v>
      </c>
    </row>
    <row r="1825" spans="2:2" x14ac:dyDescent="0.2">
      <c r="B1825" s="2" t="s">
        <v>2597</v>
      </c>
    </row>
    <row r="1826" spans="2:2" x14ac:dyDescent="0.2">
      <c r="B1826" s="2" t="s">
        <v>2598</v>
      </c>
    </row>
    <row r="1827" spans="2:2" x14ac:dyDescent="0.2">
      <c r="B1827" s="2" t="s">
        <v>2599</v>
      </c>
    </row>
    <row r="1828" spans="2:2" x14ac:dyDescent="0.2">
      <c r="B1828" s="2" t="s">
        <v>2600</v>
      </c>
    </row>
    <row r="1829" spans="2:2" x14ac:dyDescent="0.2">
      <c r="B1829" s="2" t="s">
        <v>2601</v>
      </c>
    </row>
    <row r="1830" spans="2:2" x14ac:dyDescent="0.2">
      <c r="B1830" s="2" t="s">
        <v>2602</v>
      </c>
    </row>
    <row r="1831" spans="2:2" x14ac:dyDescent="0.2">
      <c r="B1831" s="2" t="s">
        <v>2603</v>
      </c>
    </row>
    <row r="1832" spans="2:2" x14ac:dyDescent="0.2">
      <c r="B1832" s="2" t="s">
        <v>2604</v>
      </c>
    </row>
    <row r="1833" spans="2:2" x14ac:dyDescent="0.2">
      <c r="B1833" s="2" t="s">
        <v>2605</v>
      </c>
    </row>
    <row r="1834" spans="2:2" x14ac:dyDescent="0.2">
      <c r="B1834" s="2" t="s">
        <v>2606</v>
      </c>
    </row>
    <row r="1835" spans="2:2" x14ac:dyDescent="0.2">
      <c r="B1835" s="2" t="s">
        <v>2607</v>
      </c>
    </row>
    <row r="1836" spans="2:2" x14ac:dyDescent="0.2">
      <c r="B1836" s="2" t="s">
        <v>2608</v>
      </c>
    </row>
    <row r="1837" spans="2:2" x14ac:dyDescent="0.2">
      <c r="B1837" s="2" t="s">
        <v>2609</v>
      </c>
    </row>
    <row r="1838" spans="2:2" x14ac:dyDescent="0.2">
      <c r="B1838" s="2" t="s">
        <v>2610</v>
      </c>
    </row>
    <row r="1839" spans="2:2" x14ac:dyDescent="0.2">
      <c r="B1839" s="2" t="s">
        <v>2611</v>
      </c>
    </row>
    <row r="1840" spans="2:2" x14ac:dyDescent="0.2">
      <c r="B1840" s="2" t="s">
        <v>2612</v>
      </c>
    </row>
    <row r="1841" spans="2:2" x14ac:dyDescent="0.2">
      <c r="B1841" s="2" t="s">
        <v>2613</v>
      </c>
    </row>
    <row r="1842" spans="2:2" x14ac:dyDescent="0.2">
      <c r="B1842" s="2" t="s">
        <v>2614</v>
      </c>
    </row>
    <row r="1843" spans="2:2" x14ac:dyDescent="0.2">
      <c r="B1843" s="2" t="s">
        <v>2615</v>
      </c>
    </row>
    <row r="1844" spans="2:2" x14ac:dyDescent="0.2">
      <c r="B1844" s="2" t="s">
        <v>2616</v>
      </c>
    </row>
    <row r="1845" spans="2:2" x14ac:dyDescent="0.2">
      <c r="B1845" s="2" t="s">
        <v>2617</v>
      </c>
    </row>
    <row r="1846" spans="2:2" x14ac:dyDescent="0.2">
      <c r="B1846" s="2" t="s">
        <v>2618</v>
      </c>
    </row>
    <row r="1847" spans="2:2" x14ac:dyDescent="0.2">
      <c r="B1847" s="2" t="s">
        <v>2619</v>
      </c>
    </row>
    <row r="1848" spans="2:2" x14ac:dyDescent="0.2">
      <c r="B1848" s="2" t="s">
        <v>2620</v>
      </c>
    </row>
    <row r="1849" spans="2:2" x14ac:dyDescent="0.2">
      <c r="B1849" s="2" t="s">
        <v>2621</v>
      </c>
    </row>
    <row r="1850" spans="2:2" x14ac:dyDescent="0.2">
      <c r="B1850" s="2" t="s">
        <v>2622</v>
      </c>
    </row>
    <row r="1851" spans="2:2" x14ac:dyDescent="0.2">
      <c r="B1851" s="2" t="s">
        <v>2623</v>
      </c>
    </row>
    <row r="1852" spans="2:2" x14ac:dyDescent="0.2">
      <c r="B1852" s="2" t="s">
        <v>2624</v>
      </c>
    </row>
    <row r="1853" spans="2:2" x14ac:dyDescent="0.2">
      <c r="B1853" s="2" t="s">
        <v>2625</v>
      </c>
    </row>
    <row r="1854" spans="2:2" x14ac:dyDescent="0.2">
      <c r="B1854" s="2" t="s">
        <v>2626</v>
      </c>
    </row>
    <row r="1855" spans="2:2" x14ac:dyDescent="0.2">
      <c r="B1855" s="2" t="s">
        <v>2627</v>
      </c>
    </row>
    <row r="1856" spans="2:2" x14ac:dyDescent="0.2">
      <c r="B1856" s="2" t="s">
        <v>2628</v>
      </c>
    </row>
    <row r="1857" spans="2:2" x14ac:dyDescent="0.2">
      <c r="B1857" s="2" t="s">
        <v>2629</v>
      </c>
    </row>
    <row r="1858" spans="2:2" x14ac:dyDescent="0.2">
      <c r="B1858" s="2" t="s">
        <v>2630</v>
      </c>
    </row>
    <row r="1859" spans="2:2" x14ac:dyDescent="0.2">
      <c r="B1859" s="2" t="s">
        <v>2631</v>
      </c>
    </row>
    <row r="1860" spans="2:2" x14ac:dyDescent="0.2">
      <c r="B1860" s="2" t="s">
        <v>2632</v>
      </c>
    </row>
    <row r="1861" spans="2:2" x14ac:dyDescent="0.2">
      <c r="B1861" s="2" t="s">
        <v>2633</v>
      </c>
    </row>
    <row r="1862" spans="2:2" x14ac:dyDescent="0.2">
      <c r="B1862" s="2" t="s">
        <v>2634</v>
      </c>
    </row>
    <row r="1863" spans="2:2" x14ac:dyDescent="0.2">
      <c r="B1863" s="2" t="s">
        <v>2635</v>
      </c>
    </row>
    <row r="1864" spans="2:2" x14ac:dyDescent="0.2">
      <c r="B1864" s="2" t="s">
        <v>2636</v>
      </c>
    </row>
    <row r="1865" spans="2:2" x14ac:dyDescent="0.2">
      <c r="B1865" s="2" t="s">
        <v>2637</v>
      </c>
    </row>
    <row r="1866" spans="2:2" x14ac:dyDescent="0.2">
      <c r="B1866" s="2" t="s">
        <v>2638</v>
      </c>
    </row>
    <row r="1867" spans="2:2" x14ac:dyDescent="0.2">
      <c r="B1867" s="2" t="s">
        <v>2639</v>
      </c>
    </row>
    <row r="1868" spans="2:2" x14ac:dyDescent="0.2">
      <c r="B1868" s="2" t="s">
        <v>2640</v>
      </c>
    </row>
    <row r="1869" spans="2:2" x14ac:dyDescent="0.2">
      <c r="B1869" s="2" t="s">
        <v>2641</v>
      </c>
    </row>
    <row r="1870" spans="2:2" x14ac:dyDescent="0.2">
      <c r="B1870" s="2" t="s">
        <v>2642</v>
      </c>
    </row>
    <row r="1871" spans="2:2" x14ac:dyDescent="0.2">
      <c r="B1871" s="2" t="s">
        <v>2643</v>
      </c>
    </row>
    <row r="1872" spans="2:2" x14ac:dyDescent="0.2">
      <c r="B1872" s="2" t="s">
        <v>2644</v>
      </c>
    </row>
    <row r="1873" spans="2:2" x14ac:dyDescent="0.2">
      <c r="B1873" s="2" t="s">
        <v>2645</v>
      </c>
    </row>
    <row r="1874" spans="2:2" x14ac:dyDescent="0.2">
      <c r="B1874" s="2" t="s">
        <v>2646</v>
      </c>
    </row>
    <row r="1875" spans="2:2" x14ac:dyDescent="0.2">
      <c r="B1875" s="2" t="s">
        <v>2647</v>
      </c>
    </row>
    <row r="1876" spans="2:2" x14ac:dyDescent="0.2">
      <c r="B1876" s="2" t="s">
        <v>2648</v>
      </c>
    </row>
    <row r="1877" spans="2:2" x14ac:dyDescent="0.2">
      <c r="B1877" s="2" t="s">
        <v>2649</v>
      </c>
    </row>
    <row r="1878" spans="2:2" x14ac:dyDescent="0.2">
      <c r="B1878" s="2" t="s">
        <v>2650</v>
      </c>
    </row>
    <row r="1879" spans="2:2" x14ac:dyDescent="0.2">
      <c r="B1879" s="2" t="s">
        <v>2651</v>
      </c>
    </row>
    <row r="1880" spans="2:2" x14ac:dyDescent="0.2">
      <c r="B1880" s="2" t="s">
        <v>2652</v>
      </c>
    </row>
    <row r="1881" spans="2:2" x14ac:dyDescent="0.2">
      <c r="B1881" s="2" t="s">
        <v>2653</v>
      </c>
    </row>
    <row r="1882" spans="2:2" x14ac:dyDescent="0.2">
      <c r="B1882" s="2" t="s">
        <v>2654</v>
      </c>
    </row>
    <row r="1883" spans="2:2" x14ac:dyDescent="0.2">
      <c r="B1883" s="2" t="s">
        <v>2655</v>
      </c>
    </row>
    <row r="1884" spans="2:2" x14ac:dyDescent="0.2">
      <c r="B1884" s="2" t="s">
        <v>2656</v>
      </c>
    </row>
    <row r="1885" spans="2:2" x14ac:dyDescent="0.2">
      <c r="B1885" s="2" t="s">
        <v>2657</v>
      </c>
    </row>
    <row r="1886" spans="2:2" x14ac:dyDescent="0.2">
      <c r="B1886" s="2" t="s">
        <v>2658</v>
      </c>
    </row>
    <row r="1887" spans="2:2" x14ac:dyDescent="0.2">
      <c r="B1887" s="2" t="s">
        <v>2659</v>
      </c>
    </row>
    <row r="1888" spans="2:2" x14ac:dyDescent="0.2">
      <c r="B1888" s="2" t="s">
        <v>2660</v>
      </c>
    </row>
    <row r="1889" spans="2:2" x14ac:dyDescent="0.2">
      <c r="B1889" s="2" t="s">
        <v>2661</v>
      </c>
    </row>
    <row r="1890" spans="2:2" x14ac:dyDescent="0.2">
      <c r="B1890" s="2" t="s">
        <v>2662</v>
      </c>
    </row>
    <row r="1891" spans="2:2" x14ac:dyDescent="0.2">
      <c r="B1891" s="2" t="s">
        <v>2663</v>
      </c>
    </row>
    <row r="1892" spans="2:2" x14ac:dyDescent="0.2">
      <c r="B1892" s="2" t="s">
        <v>2664</v>
      </c>
    </row>
    <row r="1893" spans="2:2" x14ac:dyDescent="0.2">
      <c r="B1893" s="2" t="s">
        <v>2665</v>
      </c>
    </row>
    <row r="1894" spans="2:2" x14ac:dyDescent="0.2">
      <c r="B1894" s="2" t="s">
        <v>2666</v>
      </c>
    </row>
    <row r="1895" spans="2:2" x14ac:dyDescent="0.2">
      <c r="B1895" s="2" t="s">
        <v>2667</v>
      </c>
    </row>
    <row r="1896" spans="2:2" x14ac:dyDescent="0.2">
      <c r="B1896" s="2" t="s">
        <v>2668</v>
      </c>
    </row>
    <row r="1897" spans="2:2" x14ac:dyDescent="0.2">
      <c r="B1897" s="2" t="s">
        <v>2669</v>
      </c>
    </row>
    <row r="1898" spans="2:2" x14ac:dyDescent="0.2">
      <c r="B1898" s="2" t="s">
        <v>2670</v>
      </c>
    </row>
    <row r="1899" spans="2:2" x14ac:dyDescent="0.2">
      <c r="B1899" s="2" t="s">
        <v>2671</v>
      </c>
    </row>
    <row r="1900" spans="2:2" x14ac:dyDescent="0.2">
      <c r="B1900" s="2" t="s">
        <v>2672</v>
      </c>
    </row>
    <row r="1901" spans="2:2" x14ac:dyDescent="0.2">
      <c r="B1901" s="2" t="s">
        <v>2673</v>
      </c>
    </row>
    <row r="1902" spans="2:2" x14ac:dyDescent="0.2">
      <c r="B1902" s="2" t="s">
        <v>2674</v>
      </c>
    </row>
    <row r="1903" spans="2:2" x14ac:dyDescent="0.2">
      <c r="B1903" s="2" t="s">
        <v>2675</v>
      </c>
    </row>
    <row r="1904" spans="2:2" x14ac:dyDescent="0.2">
      <c r="B1904" s="2" t="s">
        <v>2676</v>
      </c>
    </row>
    <row r="1905" spans="2:2" x14ac:dyDescent="0.2">
      <c r="B1905" s="2" t="s">
        <v>2677</v>
      </c>
    </row>
    <row r="1906" spans="2:2" x14ac:dyDescent="0.2">
      <c r="B1906" s="2" t="s">
        <v>2678</v>
      </c>
    </row>
    <row r="1907" spans="2:2" x14ac:dyDescent="0.2">
      <c r="B1907" s="2" t="s">
        <v>2679</v>
      </c>
    </row>
    <row r="1908" spans="2:2" x14ac:dyDescent="0.2">
      <c r="B1908" s="2" t="s">
        <v>2680</v>
      </c>
    </row>
    <row r="1909" spans="2:2" x14ac:dyDescent="0.2">
      <c r="B1909" s="2" t="s">
        <v>2681</v>
      </c>
    </row>
    <row r="1910" spans="2:2" x14ac:dyDescent="0.2">
      <c r="B1910" s="2" t="s">
        <v>2682</v>
      </c>
    </row>
    <row r="1911" spans="2:2" x14ac:dyDescent="0.2">
      <c r="B1911" s="2" t="s">
        <v>2683</v>
      </c>
    </row>
    <row r="1912" spans="2:2" x14ac:dyDescent="0.2">
      <c r="B1912" s="2" t="s">
        <v>2684</v>
      </c>
    </row>
    <row r="1913" spans="2:2" x14ac:dyDescent="0.2">
      <c r="B1913" s="2" t="s">
        <v>2685</v>
      </c>
    </row>
    <row r="1914" spans="2:2" x14ac:dyDescent="0.2">
      <c r="B1914" s="2" t="s">
        <v>2686</v>
      </c>
    </row>
    <row r="1915" spans="2:2" x14ac:dyDescent="0.2">
      <c r="B1915" s="2" t="s">
        <v>2687</v>
      </c>
    </row>
    <row r="1916" spans="2:2" x14ac:dyDescent="0.2">
      <c r="B1916" s="2" t="s">
        <v>2688</v>
      </c>
    </row>
    <row r="1917" spans="2:2" x14ac:dyDescent="0.2">
      <c r="B1917" s="2" t="s">
        <v>2689</v>
      </c>
    </row>
    <row r="1918" spans="2:2" x14ac:dyDescent="0.2">
      <c r="B1918" s="2" t="s">
        <v>2690</v>
      </c>
    </row>
    <row r="1919" spans="2:2" x14ac:dyDescent="0.2">
      <c r="B1919" s="2" t="s">
        <v>2691</v>
      </c>
    </row>
    <row r="1920" spans="2:2" x14ac:dyDescent="0.2">
      <c r="B1920" s="2" t="s">
        <v>2692</v>
      </c>
    </row>
    <row r="1921" spans="2:2" x14ac:dyDescent="0.2">
      <c r="B1921" s="2" t="s">
        <v>2693</v>
      </c>
    </row>
    <row r="1922" spans="2:2" x14ac:dyDescent="0.2">
      <c r="B1922" s="2" t="s">
        <v>2694</v>
      </c>
    </row>
    <row r="1923" spans="2:2" x14ac:dyDescent="0.2">
      <c r="B1923" s="2" t="s">
        <v>2695</v>
      </c>
    </row>
    <row r="1924" spans="2:2" x14ac:dyDescent="0.2">
      <c r="B1924" s="2" t="s">
        <v>2696</v>
      </c>
    </row>
    <row r="1925" spans="2:2" x14ac:dyDescent="0.2">
      <c r="B1925" s="2" t="s">
        <v>2697</v>
      </c>
    </row>
    <row r="1926" spans="2:2" x14ac:dyDescent="0.2">
      <c r="B1926" s="2" t="s">
        <v>2698</v>
      </c>
    </row>
    <row r="1927" spans="2:2" x14ac:dyDescent="0.2">
      <c r="B1927" s="2" t="s">
        <v>2699</v>
      </c>
    </row>
    <row r="1928" spans="2:2" x14ac:dyDescent="0.2">
      <c r="B1928" s="2" t="s">
        <v>2700</v>
      </c>
    </row>
    <row r="1929" spans="2:2" x14ac:dyDescent="0.2">
      <c r="B1929" s="2" t="s">
        <v>2701</v>
      </c>
    </row>
    <row r="1930" spans="2:2" x14ac:dyDescent="0.2">
      <c r="B1930" s="2" t="s">
        <v>2702</v>
      </c>
    </row>
    <row r="1931" spans="2:2" x14ac:dyDescent="0.2">
      <c r="B1931" s="2" t="s">
        <v>2703</v>
      </c>
    </row>
    <row r="1932" spans="2:2" x14ac:dyDescent="0.2">
      <c r="B1932" s="2" t="s">
        <v>2704</v>
      </c>
    </row>
    <row r="1933" spans="2:2" x14ac:dyDescent="0.2">
      <c r="B1933" s="2" t="s">
        <v>2705</v>
      </c>
    </row>
    <row r="1934" spans="2:2" x14ac:dyDescent="0.2">
      <c r="B1934" s="2" t="s">
        <v>2706</v>
      </c>
    </row>
    <row r="1935" spans="2:2" x14ac:dyDescent="0.2">
      <c r="B1935" s="2" t="s">
        <v>2707</v>
      </c>
    </row>
  </sheetData>
  <sheetProtection algorithmName="SHA-512" hashValue="iLb0DIgPcdHrCNL9PTeIqdzZpEvx78+zsftPfRY+VWRJYnjs78G/bllIIz4vNFmLuC269j2gSignf29LQ2wkYA==" saltValue="2RIWdToT3Lvf4tWax52aKg==" spinCount="100000" sheet="1" objects="1" scenarios="1"/>
  <mergeCells count="7">
    <mergeCell ref="B2:C2"/>
    <mergeCell ref="J2:L2"/>
    <mergeCell ref="N2:P2"/>
    <mergeCell ref="AF2:AN2"/>
    <mergeCell ref="R2:T2"/>
    <mergeCell ref="AA2:AD2"/>
    <mergeCell ref="E2:H2"/>
  </mergeCells>
  <phoneticPr fontId="0" type="noConversion"/>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pageSetUpPr fitToPage="1"/>
  </sheetPr>
  <dimension ref="A1:X29"/>
  <sheetViews>
    <sheetView showGridLines="0" topLeftCell="J1" zoomScaleNormal="100" workbookViewId="0">
      <selection activeCell="K21" sqref="K21"/>
    </sheetView>
  </sheetViews>
  <sheetFormatPr defaultColWidth="9.140625" defaultRowHeight="11.25" x14ac:dyDescent="0.2"/>
  <cols>
    <col min="1" max="2" width="1.5703125" style="2" hidden="1" customWidth="1"/>
    <col min="3" max="3" width="7.85546875" style="2" hidden="1" customWidth="1"/>
    <col min="4" max="4" width="11.28515625" style="2" hidden="1" customWidth="1"/>
    <col min="5" max="5" width="10.140625" style="2" hidden="1" customWidth="1"/>
    <col min="6" max="6" width="11.28515625" style="2" hidden="1" customWidth="1"/>
    <col min="7" max="7" width="9.28515625" style="2" hidden="1" customWidth="1"/>
    <col min="8" max="8" width="11.85546875" style="2" hidden="1" customWidth="1"/>
    <col min="9" max="9" width="8.7109375" style="2" hidden="1" customWidth="1"/>
    <col min="10" max="10" width="10.5703125" style="2" customWidth="1"/>
    <col min="11" max="12" width="16.28515625" style="2" customWidth="1"/>
    <col min="13" max="13" width="7.140625" style="2" customWidth="1"/>
    <col min="14" max="14" width="11.140625" style="2" customWidth="1"/>
    <col min="15" max="15" width="18.140625" style="2" customWidth="1"/>
    <col min="16" max="16" width="15.140625" style="2" bestFit="1" customWidth="1"/>
    <col min="17" max="17" width="6.85546875" style="2" customWidth="1"/>
    <col min="18" max="18" width="11.42578125" style="2" bestFit="1" customWidth="1"/>
    <col min="19" max="19" width="11.5703125" style="2" customWidth="1"/>
    <col min="20" max="20" width="17" style="2" bestFit="1" customWidth="1"/>
    <col min="21" max="21" width="11.5703125" style="2" bestFit="1" customWidth="1"/>
    <col min="22" max="22" width="11.85546875" style="2" hidden="1" customWidth="1"/>
    <col min="23" max="16384" width="9.140625" style="2"/>
  </cols>
  <sheetData>
    <row r="1" spans="7:24" ht="48.75" customHeight="1" x14ac:dyDescent="0.2"/>
    <row r="2" spans="7:24" ht="12.75" x14ac:dyDescent="0.2">
      <c r="K2" s="89" t="s">
        <v>44</v>
      </c>
      <c r="L2" s="296">
        <f>Main!AH43</f>
        <v>0</v>
      </c>
      <c r="M2" s="296"/>
      <c r="N2" s="297"/>
      <c r="O2" s="297"/>
      <c r="Q2" s="89" t="s">
        <v>52</v>
      </c>
      <c r="R2" s="94">
        <f>Main!AH45</f>
        <v>0</v>
      </c>
      <c r="S2" s="126" t="s">
        <v>339</v>
      </c>
    </row>
    <row r="3" spans="7:24" ht="12.75" x14ac:dyDescent="0.2">
      <c r="K3" s="89" t="s">
        <v>45</v>
      </c>
      <c r="L3" s="298">
        <f>Main!AH44</f>
        <v>0</v>
      </c>
      <c r="M3" s="298"/>
      <c r="N3" s="299"/>
      <c r="O3" s="299"/>
      <c r="Q3" s="89" t="s">
        <v>53</v>
      </c>
      <c r="R3" s="131">
        <f>Main!AH46</f>
        <v>0</v>
      </c>
      <c r="S3" s="8" t="s">
        <v>77</v>
      </c>
      <c r="T3" s="127" t="s">
        <v>516</v>
      </c>
    </row>
    <row r="4" spans="7:24" ht="12.75" x14ac:dyDescent="0.2">
      <c r="G4" s="2">
        <v>11</v>
      </c>
      <c r="H4" s="2">
        <v>21</v>
      </c>
      <c r="K4" s="89" t="s">
        <v>46</v>
      </c>
      <c r="L4" s="296">
        <f>Main!AH47</f>
        <v>0</v>
      </c>
      <c r="M4" s="296"/>
      <c r="N4" s="297"/>
      <c r="O4" s="297"/>
      <c r="Q4" s="89" t="s">
        <v>449</v>
      </c>
      <c r="R4" s="131">
        <f>Main!AH48</f>
        <v>0</v>
      </c>
      <c r="S4" s="8" t="s">
        <v>199</v>
      </c>
      <c r="T4" s="127" t="s">
        <v>340</v>
      </c>
    </row>
    <row r="5" spans="7:24" ht="12.75" x14ac:dyDescent="0.2">
      <c r="G5" s="2">
        <v>15</v>
      </c>
      <c r="H5" s="2">
        <v>28</v>
      </c>
      <c r="K5" s="89" t="s">
        <v>480</v>
      </c>
      <c r="L5" s="296" t="str">
        <f>Main!AH42</f>
        <v>000000</v>
      </c>
      <c r="M5" s="296"/>
      <c r="N5" s="297"/>
      <c r="O5" s="297"/>
      <c r="Q5" s="89" t="s">
        <v>397</v>
      </c>
      <c r="R5" s="131">
        <f>Main!AH49</f>
        <v>0</v>
      </c>
      <c r="S5" s="8" t="s">
        <v>198</v>
      </c>
      <c r="T5" s="127" t="s">
        <v>517</v>
      </c>
    </row>
    <row r="7" spans="7:24" ht="36.75" customHeight="1" x14ac:dyDescent="0.2">
      <c r="G7" s="2" t="s">
        <v>515</v>
      </c>
      <c r="H7" s="2" t="s">
        <v>514</v>
      </c>
      <c r="I7" s="2" t="s">
        <v>513</v>
      </c>
      <c r="K7" s="103" t="s">
        <v>161</v>
      </c>
      <c r="L7" s="103" t="s">
        <v>437</v>
      </c>
      <c r="M7" s="103" t="s">
        <v>481</v>
      </c>
      <c r="N7" s="147" t="s">
        <v>537</v>
      </c>
      <c r="O7" s="147" t="s">
        <v>51</v>
      </c>
      <c r="P7" s="147" t="s">
        <v>500</v>
      </c>
      <c r="Q7" s="147" t="s">
        <v>198</v>
      </c>
      <c r="R7" s="147" t="s">
        <v>501</v>
      </c>
      <c r="S7" s="147" t="s">
        <v>502</v>
      </c>
      <c r="T7" s="103" t="s">
        <v>201</v>
      </c>
      <c r="U7" s="103" t="s">
        <v>338</v>
      </c>
      <c r="V7" s="2" t="s">
        <v>59</v>
      </c>
    </row>
    <row r="8" spans="7:24" ht="18.75" hidden="1" customHeight="1" x14ac:dyDescent="0.2">
      <c r="K8" s="128"/>
      <c r="L8" s="128"/>
      <c r="M8" s="128"/>
      <c r="N8" s="128"/>
      <c r="O8" s="128"/>
      <c r="P8" s="128"/>
      <c r="Q8" s="128"/>
      <c r="R8" s="128"/>
      <c r="S8" s="128"/>
      <c r="T8" s="128"/>
      <c r="U8" s="128"/>
    </row>
    <row r="9" spans="7:24" ht="14.25" hidden="1" customHeight="1" x14ac:dyDescent="0.2">
      <c r="K9" s="128"/>
      <c r="L9" s="128"/>
      <c r="M9" s="128"/>
      <c r="N9" s="128"/>
      <c r="O9" s="128"/>
      <c r="P9" s="128"/>
      <c r="Q9" s="128"/>
      <c r="R9" s="128"/>
      <c r="S9" s="128"/>
      <c r="T9" s="128"/>
      <c r="U9" s="128"/>
    </row>
    <row r="10" spans="7:24" ht="17.25" hidden="1" customHeight="1" x14ac:dyDescent="0.2">
      <c r="J10" s="3"/>
      <c r="K10" s="128"/>
      <c r="L10" s="128"/>
      <c r="M10" s="128"/>
      <c r="N10" s="128"/>
      <c r="O10" s="128"/>
      <c r="P10" s="128"/>
      <c r="Q10" s="128"/>
      <c r="R10" s="128"/>
      <c r="S10" s="128"/>
      <c r="T10" s="128"/>
      <c r="U10" s="128"/>
      <c r="V10" s="3"/>
      <c r="W10" s="3"/>
      <c r="X10" s="3"/>
    </row>
    <row r="11" spans="7:24" ht="17.25" hidden="1" customHeight="1" x14ac:dyDescent="0.2">
      <c r="I11" s="2" t="s">
        <v>647</v>
      </c>
      <c r="J11" s="3"/>
      <c r="K11" s="128"/>
      <c r="L11" s="128"/>
      <c r="M11" s="128" t="b">
        <v>1</v>
      </c>
      <c r="N11" s="128" t="b">
        <v>1</v>
      </c>
      <c r="O11" s="128" t="b">
        <v>1</v>
      </c>
      <c r="P11" s="128" t="b">
        <v>1</v>
      </c>
      <c r="Q11" s="128" t="b">
        <v>1</v>
      </c>
      <c r="R11" s="128" t="b">
        <v>1</v>
      </c>
      <c r="S11" s="128" t="b">
        <v>1</v>
      </c>
      <c r="T11" s="128" t="b">
        <v>0</v>
      </c>
      <c r="U11" s="128"/>
      <c r="V11" s="3" t="s">
        <v>11</v>
      </c>
      <c r="W11" s="3"/>
      <c r="X11" s="3"/>
    </row>
    <row r="12" spans="7:24" ht="19.5" hidden="1" customHeight="1" x14ac:dyDescent="0.2">
      <c r="I12" s="2" t="s">
        <v>482</v>
      </c>
      <c r="J12" s="3"/>
      <c r="K12" s="128"/>
      <c r="L12" s="128"/>
      <c r="M12" s="128"/>
      <c r="N12" s="128"/>
      <c r="O12" s="128"/>
      <c r="P12" s="128"/>
      <c r="Q12" s="128"/>
      <c r="R12" s="128"/>
      <c r="S12" s="128"/>
      <c r="T12" s="128" t="b">
        <v>1</v>
      </c>
      <c r="U12" s="128"/>
      <c r="V12" s="3"/>
      <c r="W12" s="3"/>
      <c r="X12" s="3"/>
    </row>
    <row r="13" spans="7:24" ht="17.25" hidden="1" customHeight="1" x14ac:dyDescent="0.2">
      <c r="I13" s="2" t="s">
        <v>483</v>
      </c>
      <c r="J13" s="3"/>
      <c r="K13" s="128">
        <v>14</v>
      </c>
      <c r="L13" s="128"/>
      <c r="M13" s="128">
        <v>159</v>
      </c>
      <c r="N13" s="128">
        <v>160</v>
      </c>
      <c r="O13" s="128">
        <v>162</v>
      </c>
      <c r="P13" s="128">
        <v>163</v>
      </c>
      <c r="Q13" s="128">
        <v>161</v>
      </c>
      <c r="R13" s="128">
        <v>164</v>
      </c>
      <c r="S13" s="128">
        <v>0</v>
      </c>
      <c r="T13" s="128">
        <v>165</v>
      </c>
      <c r="U13" s="128"/>
      <c r="V13" s="3"/>
      <c r="W13" s="3"/>
      <c r="X13" s="3"/>
    </row>
    <row r="14" spans="7:24" ht="17.25" hidden="1" customHeight="1" x14ac:dyDescent="0.2">
      <c r="I14" s="2" t="s">
        <v>484</v>
      </c>
      <c r="K14" s="128">
        <v>14</v>
      </c>
      <c r="L14" s="128">
        <v>16</v>
      </c>
      <c r="M14" s="128">
        <v>0</v>
      </c>
      <c r="N14" s="128">
        <v>0</v>
      </c>
      <c r="O14" s="128">
        <v>136</v>
      </c>
      <c r="P14" s="128">
        <v>135</v>
      </c>
      <c r="Q14" s="128">
        <v>134</v>
      </c>
      <c r="R14" s="128">
        <v>137</v>
      </c>
      <c r="S14" s="128">
        <v>138</v>
      </c>
      <c r="T14" s="128">
        <v>140</v>
      </c>
      <c r="U14" s="128"/>
    </row>
    <row r="15" spans="7:24" ht="17.25" customHeight="1" x14ac:dyDescent="0.2">
      <c r="G15" s="2" t="s">
        <v>247</v>
      </c>
      <c r="H15" s="2">
        <v>35</v>
      </c>
      <c r="I15" s="2">
        <v>1</v>
      </c>
      <c r="K15" s="174" t="s">
        <v>648</v>
      </c>
      <c r="L15" s="174"/>
      <c r="M15" s="208" t="s">
        <v>2808</v>
      </c>
      <c r="N15" s="174"/>
      <c r="O15" s="208" t="s">
        <v>2808</v>
      </c>
      <c r="P15" s="129"/>
      <c r="Q15" s="129"/>
      <c r="R15" s="129"/>
      <c r="S15" s="129"/>
      <c r="T15" s="208" t="s">
        <v>2808</v>
      </c>
      <c r="U15" s="208" t="s">
        <v>649</v>
      </c>
    </row>
    <row r="16" spans="7:24" ht="17.25" customHeight="1" x14ac:dyDescent="0.2">
      <c r="G16" s="2" t="s">
        <v>247</v>
      </c>
      <c r="H16" s="2">
        <v>36</v>
      </c>
      <c r="I16" s="2">
        <v>2</v>
      </c>
      <c r="K16" s="174" t="s">
        <v>650</v>
      </c>
      <c r="L16" s="174"/>
      <c r="M16" s="208" t="s">
        <v>2808</v>
      </c>
      <c r="N16" s="174"/>
      <c r="O16" s="208" t="s">
        <v>2808</v>
      </c>
      <c r="P16" s="129"/>
      <c r="Q16" s="129"/>
      <c r="R16" s="129"/>
      <c r="S16" s="129"/>
      <c r="T16" s="208" t="s">
        <v>2808</v>
      </c>
      <c r="U16" s="208" t="s">
        <v>649</v>
      </c>
    </row>
    <row r="17" spans="7:21" ht="17.25" customHeight="1" x14ac:dyDescent="0.2">
      <c r="G17" s="2" t="s">
        <v>247</v>
      </c>
      <c r="H17" s="2">
        <v>37</v>
      </c>
      <c r="I17" s="2">
        <v>3</v>
      </c>
      <c r="K17" s="174" t="s">
        <v>2809</v>
      </c>
      <c r="L17" s="174"/>
      <c r="M17" s="208" t="s">
        <v>2808</v>
      </c>
      <c r="N17" s="174"/>
      <c r="O17" s="208" t="s">
        <v>2808</v>
      </c>
      <c r="P17" s="129"/>
      <c r="Q17" s="129"/>
      <c r="R17" s="129"/>
      <c r="S17" s="129"/>
      <c r="T17" s="208" t="s">
        <v>2808</v>
      </c>
      <c r="U17" s="208" t="s">
        <v>649</v>
      </c>
    </row>
    <row r="18" spans="7:21" ht="17.25" customHeight="1" x14ac:dyDescent="0.2">
      <c r="G18" s="2" t="s">
        <v>247</v>
      </c>
      <c r="H18" s="2">
        <v>38</v>
      </c>
      <c r="I18" s="2">
        <v>4</v>
      </c>
      <c r="K18" s="174" t="s">
        <v>651</v>
      </c>
      <c r="L18" s="174"/>
      <c r="M18" s="208" t="s">
        <v>2808</v>
      </c>
      <c r="N18" s="174"/>
      <c r="O18" s="129"/>
      <c r="P18" s="129"/>
      <c r="Q18" s="208" t="s">
        <v>2808</v>
      </c>
      <c r="R18" s="129"/>
      <c r="S18" s="129"/>
      <c r="T18" s="208" t="s">
        <v>2808</v>
      </c>
      <c r="U18" s="208" t="s">
        <v>649</v>
      </c>
    </row>
    <row r="19" spans="7:21" ht="17.25" customHeight="1" x14ac:dyDescent="0.2">
      <c r="G19" s="2" t="s">
        <v>247</v>
      </c>
      <c r="H19" s="2">
        <v>39</v>
      </c>
      <c r="I19" s="2">
        <v>5</v>
      </c>
      <c r="K19" s="174" t="s">
        <v>652</v>
      </c>
      <c r="L19" s="174"/>
      <c r="M19" s="208" t="s">
        <v>2808</v>
      </c>
      <c r="N19" s="174"/>
      <c r="O19" s="129"/>
      <c r="P19" s="129"/>
      <c r="Q19" s="208" t="s">
        <v>2808</v>
      </c>
      <c r="R19" s="129"/>
      <c r="S19" s="129"/>
      <c r="T19" s="208" t="s">
        <v>2808</v>
      </c>
      <c r="U19" s="208" t="s">
        <v>649</v>
      </c>
    </row>
    <row r="20" spans="7:21" ht="17.25" customHeight="1" x14ac:dyDescent="0.2">
      <c r="G20" s="2" t="s">
        <v>247</v>
      </c>
      <c r="H20" s="2">
        <v>40</v>
      </c>
      <c r="I20" s="2">
        <v>6</v>
      </c>
      <c r="K20" s="174" t="s">
        <v>2810</v>
      </c>
      <c r="L20" s="174"/>
      <c r="M20" s="208" t="s">
        <v>2808</v>
      </c>
      <c r="N20" s="174"/>
      <c r="O20" s="129"/>
      <c r="P20" s="129"/>
      <c r="Q20" s="208" t="s">
        <v>2808</v>
      </c>
      <c r="R20" s="129"/>
      <c r="S20" s="129"/>
      <c r="T20" s="208" t="s">
        <v>2808</v>
      </c>
      <c r="U20" s="208" t="s">
        <v>649</v>
      </c>
    </row>
    <row r="21" spans="7:21" ht="17.25" customHeight="1" x14ac:dyDescent="0.2">
      <c r="G21" s="2" t="s">
        <v>247</v>
      </c>
      <c r="H21" s="2">
        <v>41</v>
      </c>
      <c r="I21" s="2">
        <v>7</v>
      </c>
      <c r="K21" s="174" t="s">
        <v>3260</v>
      </c>
      <c r="L21" s="174"/>
      <c r="M21" s="208" t="s">
        <v>2808</v>
      </c>
      <c r="N21" s="174"/>
      <c r="O21" s="129"/>
      <c r="P21" s="208" t="s">
        <v>2808</v>
      </c>
      <c r="Q21" s="129"/>
      <c r="R21" s="208" t="s">
        <v>2808</v>
      </c>
      <c r="S21" s="129"/>
      <c r="T21" s="208" t="s">
        <v>2808</v>
      </c>
      <c r="U21" s="208" t="s">
        <v>649</v>
      </c>
    </row>
    <row r="22" spans="7:21" ht="17.25" customHeight="1" x14ac:dyDescent="0.2">
      <c r="G22" s="2" t="s">
        <v>100</v>
      </c>
      <c r="H22" s="2">
        <v>42</v>
      </c>
      <c r="I22" s="2">
        <v>8</v>
      </c>
      <c r="K22" s="130" t="s">
        <v>3414</v>
      </c>
      <c r="L22" s="174" t="s">
        <v>3411</v>
      </c>
      <c r="M22" s="129"/>
      <c r="N22" s="129"/>
      <c r="O22" s="129"/>
      <c r="P22" s="129"/>
      <c r="Q22" s="129"/>
      <c r="R22" s="129"/>
      <c r="S22" s="129"/>
      <c r="T22" s="129"/>
      <c r="U22" s="200" t="s">
        <v>48</v>
      </c>
    </row>
    <row r="23" spans="7:21" ht="17.25" customHeight="1" x14ac:dyDescent="0.2">
      <c r="G23" s="2" t="s">
        <v>100</v>
      </c>
      <c r="H23" s="2">
        <v>43</v>
      </c>
      <c r="I23" s="2">
        <v>9</v>
      </c>
      <c r="K23" s="130" t="s">
        <v>3415</v>
      </c>
      <c r="L23" s="174" t="s">
        <v>3410</v>
      </c>
      <c r="M23" s="129"/>
      <c r="N23" s="129"/>
      <c r="O23" s="129"/>
      <c r="P23" s="129"/>
      <c r="Q23" s="129"/>
      <c r="R23" s="129"/>
      <c r="S23" s="129"/>
      <c r="T23" s="129"/>
      <c r="U23" s="200" t="s">
        <v>48</v>
      </c>
    </row>
    <row r="24" spans="7:21" ht="17.25" customHeight="1" x14ac:dyDescent="0.2">
      <c r="G24" s="2" t="s">
        <v>247</v>
      </c>
      <c r="H24" s="2">
        <v>44</v>
      </c>
      <c r="I24" s="2">
        <v>10</v>
      </c>
      <c r="K24" s="174" t="s">
        <v>653</v>
      </c>
      <c r="L24" s="174"/>
      <c r="M24" s="208" t="s">
        <v>2808</v>
      </c>
      <c r="N24" s="174"/>
      <c r="O24" s="208" t="s">
        <v>2808</v>
      </c>
      <c r="P24" s="129"/>
      <c r="Q24" s="129"/>
      <c r="R24" s="129"/>
      <c r="S24" s="129"/>
      <c r="T24" s="208" t="s">
        <v>2808</v>
      </c>
      <c r="U24" s="208" t="s">
        <v>649</v>
      </c>
    </row>
    <row r="25" spans="7:21" ht="17.25" customHeight="1" x14ac:dyDescent="0.2">
      <c r="G25" s="2" t="s">
        <v>247</v>
      </c>
      <c r="H25" s="2">
        <v>45</v>
      </c>
      <c r="I25" s="2">
        <v>11</v>
      </c>
      <c r="K25" s="174" t="s">
        <v>654</v>
      </c>
      <c r="L25" s="174"/>
      <c r="M25" s="208" t="s">
        <v>2808</v>
      </c>
      <c r="N25" s="174"/>
      <c r="O25" s="208" t="s">
        <v>2808</v>
      </c>
      <c r="P25" s="129"/>
      <c r="Q25" s="129"/>
      <c r="R25" s="129"/>
      <c r="S25" s="129"/>
      <c r="T25" s="208" t="s">
        <v>2808</v>
      </c>
      <c r="U25" s="208" t="s">
        <v>649</v>
      </c>
    </row>
    <row r="26" spans="7:21" ht="17.25" customHeight="1" x14ac:dyDescent="0.2">
      <c r="G26" s="2" t="s">
        <v>247</v>
      </c>
      <c r="H26" s="2">
        <v>46</v>
      </c>
      <c r="I26" s="2">
        <v>12</v>
      </c>
      <c r="K26" s="174" t="s">
        <v>655</v>
      </c>
      <c r="L26" s="174"/>
      <c r="M26" s="208" t="s">
        <v>2808</v>
      </c>
      <c r="N26" s="174"/>
      <c r="O26" s="129"/>
      <c r="P26" s="129"/>
      <c r="Q26" s="208" t="s">
        <v>2808</v>
      </c>
      <c r="R26" s="129"/>
      <c r="S26" s="129"/>
      <c r="T26" s="208" t="s">
        <v>2808</v>
      </c>
      <c r="U26" s="208" t="s">
        <v>649</v>
      </c>
    </row>
    <row r="27" spans="7:21" ht="17.25" customHeight="1" x14ac:dyDescent="0.2">
      <c r="G27" s="2" t="s">
        <v>247</v>
      </c>
      <c r="H27" s="2">
        <v>47</v>
      </c>
      <c r="I27" s="2">
        <v>13</v>
      </c>
      <c r="K27" s="174" t="s">
        <v>656</v>
      </c>
      <c r="L27" s="174"/>
      <c r="M27" s="208" t="s">
        <v>2808</v>
      </c>
      <c r="N27" s="174"/>
      <c r="O27" s="129"/>
      <c r="P27" s="129"/>
      <c r="Q27" s="208" t="s">
        <v>2808</v>
      </c>
      <c r="R27" s="129"/>
      <c r="S27" s="129"/>
      <c r="T27" s="208" t="s">
        <v>2808</v>
      </c>
      <c r="U27" s="208" t="s">
        <v>649</v>
      </c>
    </row>
    <row r="28" spans="7:21" ht="17.25" customHeight="1" x14ac:dyDescent="0.2">
      <c r="G28" s="2" t="s">
        <v>247</v>
      </c>
      <c r="H28" s="2">
        <v>48</v>
      </c>
      <c r="I28" s="2">
        <v>14</v>
      </c>
      <c r="K28" s="174" t="s">
        <v>657</v>
      </c>
      <c r="L28" s="174"/>
      <c r="M28" s="208" t="s">
        <v>2808</v>
      </c>
      <c r="N28" s="174"/>
      <c r="O28" s="129"/>
      <c r="P28" s="208" t="s">
        <v>2808</v>
      </c>
      <c r="Q28" s="129"/>
      <c r="R28" s="208" t="s">
        <v>2808</v>
      </c>
      <c r="S28" s="129"/>
      <c r="T28" s="208" t="s">
        <v>2808</v>
      </c>
      <c r="U28" s="208" t="s">
        <v>649</v>
      </c>
    </row>
    <row r="29" spans="7:21" x14ac:dyDescent="0.2">
      <c r="I29" s="2" t="s">
        <v>59</v>
      </c>
    </row>
  </sheetData>
  <sheetProtection password="BFBD" sheet="1" objects="1" scenarios="1"/>
  <mergeCells count="4">
    <mergeCell ref="L2:O2"/>
    <mergeCell ref="L3:O3"/>
    <mergeCell ref="L4:O4"/>
    <mergeCell ref="L5:O5"/>
  </mergeCells>
  <phoneticPr fontId="0" type="noConversion"/>
  <printOptions horizontalCentered="1"/>
  <pageMargins left="0.28999999999999998" right="0.34" top="1.1599999999999999" bottom="1" header="0.31" footer="0.5"/>
  <pageSetup scale="94" fitToHeight="5" orientation="landscape" horizontalDpi="4294967293" r:id="rId1"/>
  <headerFooter alignWithMargins="0">
    <oddHeader>&amp;C&amp;"Arial,Bold"&amp;12South Florida Water Management District
Field Test Report</oddHeader>
    <oddFooter>&amp;L&amp;8&amp;D&amp;T&amp;C&amp;8Signature:____________________Date:__________  Reviewed By:____________________Date:__________
Instrument Calibrated/Verified according to FDEP SOP's FT1000-FT1500 (DO calibration performed in saturated air)&amp;R&amp;8Page &amp;P of &amp;N</oddFooter>
  </headerFooter>
  <drawing r:id="rId2"/>
  <legacyDrawing r:id="rId3"/>
  <controls>
    <mc:AlternateContent xmlns:mc="http://schemas.openxmlformats.org/markup-compatibility/2006">
      <mc:Choice Requires="x14">
        <control shapeId="22531" r:id="rId4" name="cmdMain">
          <controlPr defaultSize="0" print="0" autoLine="0" r:id="rId5">
            <anchor>
              <from>
                <xdr:col>10</xdr:col>
                <xdr:colOff>504825</xdr:colOff>
                <xdr:row>0</xdr:row>
                <xdr:rowOff>247650</xdr:rowOff>
              </from>
              <to>
                <xdr:col>11</xdr:col>
                <xdr:colOff>142875</xdr:colOff>
                <xdr:row>0</xdr:row>
                <xdr:rowOff>514350</xdr:rowOff>
              </to>
            </anchor>
          </controlPr>
        </control>
      </mc:Choice>
      <mc:Fallback>
        <control shapeId="22531" r:id="rId4" name="cmdMain"/>
      </mc:Fallback>
    </mc:AlternateContent>
    <mc:AlternateContent xmlns:mc="http://schemas.openxmlformats.org/markup-compatibility/2006">
      <mc:Choice Requires="x14">
        <control shapeId="22530" r:id="rId6" name="cmdPrint">
          <controlPr defaultSize="0" print="0" autoLine="0" r:id="rId7">
            <anchor>
              <from>
                <xdr:col>9</xdr:col>
                <xdr:colOff>409575</xdr:colOff>
                <xdr:row>0</xdr:row>
                <xdr:rowOff>247650</xdr:rowOff>
              </from>
              <to>
                <xdr:col>10</xdr:col>
                <xdr:colOff>428625</xdr:colOff>
                <xdr:row>0</xdr:row>
                <xdr:rowOff>514350</xdr:rowOff>
              </to>
            </anchor>
          </controlPr>
        </control>
      </mc:Choice>
      <mc:Fallback>
        <control shapeId="22530" r:id="rId6" name="cmdPrin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A28"/>
  <sheetViews>
    <sheetView showGridLines="0" topLeftCell="J1" workbookViewId="0">
      <selection activeCell="U9" sqref="U9:W9"/>
    </sheetView>
  </sheetViews>
  <sheetFormatPr defaultColWidth="9.140625" defaultRowHeight="12.75" x14ac:dyDescent="0.2"/>
  <cols>
    <col min="1" max="7" width="2" style="109" hidden="1" customWidth="1"/>
    <col min="8" max="8" width="6.7109375" style="109" hidden="1" customWidth="1"/>
    <col min="9" max="9" width="4.7109375" style="109" hidden="1" customWidth="1"/>
    <col min="10" max="10" width="1.7109375" style="109" customWidth="1"/>
    <col min="11" max="11" width="13.140625" style="109" customWidth="1"/>
    <col min="12" max="12" width="20" style="109" customWidth="1"/>
    <col min="13" max="13" width="15.5703125" style="109" customWidth="1"/>
    <col min="14" max="15" width="8.7109375" style="109" customWidth="1"/>
    <col min="16" max="16" width="10.7109375" style="109" customWidth="1"/>
    <col min="17" max="18" width="8.7109375" style="109" customWidth="1"/>
    <col min="19" max="26" width="10.7109375" style="109" customWidth="1"/>
    <col min="27" max="16384" width="9.140625" style="109"/>
  </cols>
  <sheetData>
    <row r="1" spans="8:26" ht="56.25" customHeight="1" x14ac:dyDescent="0.2">
      <c r="H1" s="108" t="s">
        <v>479</v>
      </c>
    </row>
    <row r="2" spans="8:26" ht="15.75" x14ac:dyDescent="0.25">
      <c r="H2" s="109">
        <v>90</v>
      </c>
      <c r="K2" s="104" t="s">
        <v>1663</v>
      </c>
      <c r="L2" s="156" t="s">
        <v>2992</v>
      </c>
      <c r="M2" s="156"/>
      <c r="N2" s="149" t="s">
        <v>47</v>
      </c>
      <c r="O2" s="155"/>
      <c r="P2" s="163" t="str">
        <f>Main!AH35</f>
        <v>Weekly</v>
      </c>
      <c r="S2" s="105" t="s">
        <v>452</v>
      </c>
      <c r="T2" s="156" t="str">
        <f>Main!AH36</f>
        <v>Powers, Matt O</v>
      </c>
      <c r="U2" s="156"/>
      <c r="V2" s="156"/>
      <c r="W2" s="149" t="s">
        <v>134</v>
      </c>
      <c r="X2" s="325" t="str">
        <f>Main!AH39</f>
        <v>Grabs, Process</v>
      </c>
      <c r="Y2" s="325"/>
      <c r="Z2" s="325"/>
    </row>
    <row r="3" spans="8:26" ht="15.75" x14ac:dyDescent="0.25">
      <c r="K3" s="104" t="s">
        <v>451</v>
      </c>
      <c r="L3" s="157" t="str">
        <f>Main!$AH$34</f>
        <v>P96682</v>
      </c>
      <c r="M3" s="104" t="s">
        <v>744</v>
      </c>
      <c r="N3" s="333">
        <f ca="1">NOW()</f>
        <v>43418.592989351855</v>
      </c>
      <c r="O3" s="334"/>
      <c r="P3" s="334"/>
      <c r="S3" s="105" t="s">
        <v>453</v>
      </c>
      <c r="T3" s="156">
        <f>Main!AH37</f>
        <v>627</v>
      </c>
      <c r="U3" s="156"/>
      <c r="V3" s="156"/>
      <c r="W3" s="149" t="s">
        <v>134</v>
      </c>
      <c r="X3" s="326">
        <f>Main!AH40</f>
        <v>0</v>
      </c>
      <c r="Y3" s="326"/>
      <c r="Z3" s="326"/>
    </row>
    <row r="4" spans="8:26" ht="15.75" x14ac:dyDescent="0.25">
      <c r="K4" s="104" t="s">
        <v>30</v>
      </c>
      <c r="L4" s="325">
        <f>Main!AH73</f>
        <v>0</v>
      </c>
      <c r="M4" s="325"/>
      <c r="N4" s="325"/>
      <c r="O4" s="325"/>
      <c r="P4" s="325"/>
      <c r="S4" s="105" t="s">
        <v>454</v>
      </c>
      <c r="T4" s="156">
        <f>Main!AH38</f>
        <v>627</v>
      </c>
      <c r="U4" s="156"/>
      <c r="V4" s="156"/>
      <c r="W4" s="149" t="s">
        <v>134</v>
      </c>
      <c r="X4" s="326">
        <f>Main!AH41</f>
        <v>0</v>
      </c>
      <c r="Y4" s="326"/>
      <c r="Z4" s="326"/>
    </row>
    <row r="5" spans="8:26" ht="39.950000000000003" customHeight="1" thickBot="1" x14ac:dyDescent="0.25">
      <c r="K5" s="187" t="s">
        <v>709</v>
      </c>
      <c r="L5" s="329">
        <f>Main!AH72</f>
        <v>0</v>
      </c>
      <c r="M5" s="330"/>
      <c r="N5" s="330"/>
      <c r="O5" s="330"/>
      <c r="P5" s="330"/>
      <c r="Q5" s="330"/>
      <c r="R5" s="330"/>
      <c r="S5" s="330"/>
      <c r="T5" s="330"/>
      <c r="U5" s="330"/>
      <c r="V5" s="330"/>
      <c r="W5" s="330"/>
      <c r="X5" s="330"/>
      <c r="Y5" s="330"/>
      <c r="Z5" s="330"/>
    </row>
    <row r="6" spans="8:26" ht="16.5" thickTop="1" x14ac:dyDescent="0.25">
      <c r="K6" s="336" t="s">
        <v>478</v>
      </c>
      <c r="L6" s="337"/>
      <c r="M6" s="337"/>
      <c r="N6" s="337"/>
      <c r="O6" s="337"/>
      <c r="P6" s="337"/>
      <c r="Q6" s="337"/>
      <c r="R6" s="148"/>
      <c r="S6" s="331" t="s">
        <v>459</v>
      </c>
      <c r="T6" s="332"/>
      <c r="U6" s="171" t="s">
        <v>3264</v>
      </c>
      <c r="V6" s="327" t="str">
        <f>Main!AH62</f>
        <v>184525</v>
      </c>
      <c r="W6" s="335"/>
      <c r="X6" s="171" t="s">
        <v>3265</v>
      </c>
      <c r="Y6" s="327" t="str">
        <f>Main!AH67</f>
        <v>187388</v>
      </c>
      <c r="Z6" s="328"/>
    </row>
    <row r="7" spans="8:26" x14ac:dyDescent="0.2">
      <c r="K7" s="152" t="s">
        <v>455</v>
      </c>
      <c r="L7" s="168">
        <f>Main!AH50</f>
        <v>0</v>
      </c>
      <c r="M7" s="106" t="s">
        <v>349</v>
      </c>
      <c r="N7" s="342">
        <f>Main!AH54</f>
        <v>0</v>
      </c>
      <c r="O7" s="342"/>
      <c r="P7" s="342"/>
      <c r="R7" s="149"/>
      <c r="S7" s="303" t="s">
        <v>460</v>
      </c>
      <c r="T7" s="341"/>
      <c r="U7" s="301" t="s">
        <v>3266</v>
      </c>
      <c r="V7" s="308"/>
      <c r="W7" s="302"/>
      <c r="X7" s="301" t="s">
        <v>3266</v>
      </c>
      <c r="Y7" s="308"/>
      <c r="Z7" s="309"/>
    </row>
    <row r="8" spans="8:26" ht="12.75" customHeight="1" x14ac:dyDescent="0.2">
      <c r="K8" s="153" t="s">
        <v>456</v>
      </c>
      <c r="L8" s="169">
        <f>Main!AH51</f>
        <v>0</v>
      </c>
      <c r="M8" s="154" t="s">
        <v>350</v>
      </c>
      <c r="N8" s="338">
        <f>Main!AH55</f>
        <v>0</v>
      </c>
      <c r="O8" s="338"/>
      <c r="P8" s="338"/>
      <c r="Q8" s="339"/>
      <c r="R8" s="340"/>
      <c r="S8" s="303" t="str">
        <f>Main!AH58</f>
        <v>250</v>
      </c>
      <c r="T8" s="341"/>
      <c r="U8" s="303" t="str">
        <f>Main!AH63</f>
        <v>18/18</v>
      </c>
      <c r="V8" s="304"/>
      <c r="W8" s="341"/>
      <c r="X8" s="303" t="str">
        <f>Main!AH68</f>
        <v>24/24</v>
      </c>
      <c r="Y8" s="304"/>
      <c r="Z8" s="305"/>
    </row>
    <row r="9" spans="8:26" ht="12.75" customHeight="1" x14ac:dyDescent="0.2">
      <c r="K9" s="153" t="s">
        <v>457</v>
      </c>
      <c r="L9" s="169">
        <f>Main!AH52</f>
        <v>0</v>
      </c>
      <c r="M9" s="154"/>
      <c r="N9" s="339"/>
      <c r="O9" s="339"/>
      <c r="P9" s="339"/>
      <c r="Q9" s="339"/>
      <c r="R9" s="340"/>
      <c r="S9" s="301" t="str">
        <f>Main!AH59</f>
        <v>120</v>
      </c>
      <c r="T9" s="302"/>
      <c r="U9" s="301">
        <f>Main!AH64</f>
        <v>0</v>
      </c>
      <c r="V9" s="308"/>
      <c r="W9" s="302"/>
      <c r="X9" s="301">
        <f>Main!AH69</f>
        <v>0</v>
      </c>
      <c r="Y9" s="308"/>
      <c r="Z9" s="309"/>
    </row>
    <row r="10" spans="8:26" ht="12.75" customHeight="1" x14ac:dyDescent="0.2">
      <c r="K10" s="153" t="s">
        <v>458</v>
      </c>
      <c r="L10" s="170">
        <f>Main!AH53</f>
        <v>0</v>
      </c>
      <c r="M10" s="154" t="s">
        <v>351</v>
      </c>
      <c r="N10" s="300">
        <f>Main!AH56</f>
        <v>0</v>
      </c>
      <c r="O10" s="300"/>
      <c r="P10" s="300"/>
      <c r="R10" s="150"/>
      <c r="S10" s="301" t="str">
        <f>Main!AH60</f>
        <v>60</v>
      </c>
      <c r="T10" s="302"/>
      <c r="U10" s="301" t="str">
        <f>Main!AH65</f>
        <v>5/5</v>
      </c>
      <c r="V10" s="308"/>
      <c r="W10" s="302"/>
      <c r="X10" s="301">
        <f>Main!AH70</f>
        <v>0</v>
      </c>
      <c r="Y10" s="308"/>
      <c r="Z10" s="309"/>
    </row>
    <row r="11" spans="8:26" ht="12.75" customHeight="1" thickBot="1" x14ac:dyDescent="0.3">
      <c r="K11" s="107"/>
      <c r="M11" s="154" t="s">
        <v>743</v>
      </c>
      <c r="N11" s="300">
        <f>Main!AH57</f>
        <v>0</v>
      </c>
      <c r="O11" s="300"/>
      <c r="P11" s="300"/>
      <c r="R11" s="151"/>
      <c r="S11" s="321">
        <f>Main!AH61</f>
        <v>0</v>
      </c>
      <c r="T11" s="322"/>
      <c r="U11" s="321">
        <f>Main!AH66</f>
        <v>0</v>
      </c>
      <c r="V11" s="323"/>
      <c r="W11" s="322"/>
      <c r="X11" s="321">
        <f>Main!AH71</f>
        <v>0</v>
      </c>
      <c r="Y11" s="323"/>
      <c r="Z11" s="324"/>
    </row>
    <row r="12" spans="8:26" ht="17.25" thickTop="1" thickBot="1" x14ac:dyDescent="0.3">
      <c r="K12" s="313" t="s">
        <v>461</v>
      </c>
      <c r="L12" s="314"/>
      <c r="M12" s="314"/>
      <c r="N12" s="314"/>
      <c r="O12" s="314"/>
      <c r="P12" s="314"/>
      <c r="Q12" s="315"/>
      <c r="R12" s="317" t="s">
        <v>477</v>
      </c>
      <c r="S12" s="318"/>
      <c r="T12" s="318"/>
      <c r="U12" s="319"/>
      <c r="V12" s="319"/>
      <c r="W12" s="319"/>
      <c r="X12" s="319"/>
      <c r="Y12" s="319"/>
      <c r="Z12" s="320"/>
    </row>
    <row r="13" spans="8:26" ht="16.5" thickBot="1" x14ac:dyDescent="0.3">
      <c r="K13" s="110"/>
      <c r="L13" s="111"/>
      <c r="M13" s="112"/>
      <c r="N13" s="112"/>
      <c r="O13" s="112"/>
      <c r="P13" s="113"/>
      <c r="Q13" s="111"/>
      <c r="R13" s="110"/>
      <c r="S13" s="306" t="s">
        <v>469</v>
      </c>
      <c r="T13" s="310" t="s">
        <v>476</v>
      </c>
      <c r="U13" s="311"/>
      <c r="V13" s="316"/>
      <c r="W13" s="310" t="s">
        <v>462</v>
      </c>
      <c r="X13" s="311"/>
      <c r="Y13" s="311"/>
      <c r="Z13" s="312"/>
    </row>
    <row r="14" spans="8:26" ht="39.950000000000003" customHeight="1" thickBot="1" x14ac:dyDescent="0.25">
      <c r="K14" s="181" t="s">
        <v>463</v>
      </c>
      <c r="L14" s="182" t="s">
        <v>464</v>
      </c>
      <c r="M14" s="182" t="s">
        <v>465</v>
      </c>
      <c r="N14" s="182" t="s">
        <v>466</v>
      </c>
      <c r="O14" s="183" t="s">
        <v>145</v>
      </c>
      <c r="P14" s="183" t="s">
        <v>467</v>
      </c>
      <c r="Q14" s="184" t="s">
        <v>468</v>
      </c>
      <c r="R14" s="181" t="s">
        <v>180</v>
      </c>
      <c r="S14" s="307"/>
      <c r="T14" s="182" t="s">
        <v>470</v>
      </c>
      <c r="U14" s="182" t="s">
        <v>181</v>
      </c>
      <c r="V14" s="182" t="s">
        <v>471</v>
      </c>
      <c r="W14" s="185" t="s">
        <v>472</v>
      </c>
      <c r="X14" s="185" t="s">
        <v>473</v>
      </c>
      <c r="Y14" s="182" t="s">
        <v>474</v>
      </c>
      <c r="Z14" s="186" t="s">
        <v>475</v>
      </c>
    </row>
    <row r="15" spans="8:26" hidden="1" x14ac:dyDescent="0.2">
      <c r="K15" s="132"/>
      <c r="L15" s="133"/>
      <c r="M15" s="132"/>
      <c r="N15" s="132"/>
      <c r="O15" s="132"/>
      <c r="P15" s="132"/>
      <c r="Q15" s="132"/>
      <c r="R15" s="132"/>
      <c r="S15" s="132"/>
      <c r="T15" s="132"/>
      <c r="U15" s="132"/>
      <c r="V15" s="132"/>
      <c r="W15" s="132"/>
      <c r="X15" s="132"/>
      <c r="Y15" s="132"/>
      <c r="Z15" s="132"/>
    </row>
    <row r="16" spans="8:26" hidden="1" x14ac:dyDescent="0.2">
      <c r="K16" s="108"/>
      <c r="L16" s="108"/>
      <c r="M16" s="108"/>
      <c r="N16" s="108"/>
      <c r="O16" s="108"/>
      <c r="P16" s="108"/>
      <c r="Q16" s="108"/>
      <c r="R16" s="108"/>
      <c r="S16" s="108"/>
      <c r="T16" s="108"/>
      <c r="U16" s="108"/>
      <c r="V16" s="108"/>
      <c r="W16" s="108"/>
      <c r="X16" s="108"/>
      <c r="Y16" s="108"/>
      <c r="Z16" s="108"/>
    </row>
    <row r="17" spans="9:27" hidden="1" x14ac:dyDescent="0.2">
      <c r="K17" s="108"/>
      <c r="L17" s="108"/>
      <c r="M17" s="108"/>
      <c r="N17" s="108"/>
      <c r="O17" s="108"/>
      <c r="P17" s="108"/>
      <c r="Q17" s="108"/>
      <c r="R17" s="108"/>
      <c r="S17" s="108"/>
      <c r="T17" s="108"/>
      <c r="U17" s="108"/>
      <c r="V17" s="108"/>
      <c r="W17" s="108"/>
      <c r="X17" s="108"/>
      <c r="Y17" s="108"/>
      <c r="Z17" s="108"/>
    </row>
    <row r="18" spans="9:27" hidden="1" x14ac:dyDescent="0.2">
      <c r="K18" s="108"/>
      <c r="L18" s="108"/>
      <c r="M18" s="108"/>
      <c r="N18" s="108"/>
      <c r="O18" s="108" t="b">
        <v>1</v>
      </c>
      <c r="P18" s="108"/>
      <c r="Q18" s="108" t="b">
        <v>1</v>
      </c>
      <c r="R18" s="108"/>
      <c r="S18" s="108"/>
      <c r="T18" s="108"/>
      <c r="U18" s="108"/>
      <c r="V18" s="108"/>
      <c r="W18" s="108"/>
      <c r="X18" s="108"/>
      <c r="Y18" s="108"/>
      <c r="Z18" s="108"/>
    </row>
    <row r="19" spans="9:27" hidden="1" x14ac:dyDescent="0.2">
      <c r="K19" s="108">
        <v>14</v>
      </c>
      <c r="L19" s="108">
        <v>84</v>
      </c>
      <c r="M19" s="108">
        <v>16</v>
      </c>
      <c r="N19" s="108">
        <v>17</v>
      </c>
      <c r="O19" s="108">
        <v>86</v>
      </c>
      <c r="P19" s="108">
        <v>94</v>
      </c>
      <c r="Q19" s="108">
        <v>95</v>
      </c>
      <c r="R19" s="108">
        <v>109</v>
      </c>
      <c r="S19" s="108">
        <v>110</v>
      </c>
      <c r="T19" s="108">
        <v>111</v>
      </c>
      <c r="U19" s="108">
        <v>112</v>
      </c>
      <c r="V19" s="108">
        <v>113</v>
      </c>
      <c r="W19" s="108">
        <v>114</v>
      </c>
      <c r="X19" s="108">
        <v>115</v>
      </c>
      <c r="Y19" s="108">
        <v>116</v>
      </c>
      <c r="Z19" s="122">
        <v>117</v>
      </c>
      <c r="AA19" s="114" t="s">
        <v>59</v>
      </c>
    </row>
    <row r="20" spans="9:27" x14ac:dyDescent="0.2">
      <c r="I20" s="109">
        <v>1</v>
      </c>
      <c r="K20" s="115" t="s">
        <v>3412</v>
      </c>
      <c r="L20" s="215"/>
      <c r="M20" s="123" t="s">
        <v>3411</v>
      </c>
      <c r="N20" s="123" t="s">
        <v>589</v>
      </c>
      <c r="O20" s="123">
        <v>0</v>
      </c>
      <c r="P20" s="123"/>
      <c r="Q20" s="123">
        <v>0</v>
      </c>
      <c r="R20" s="123" t="s">
        <v>57</v>
      </c>
      <c r="S20" s="123" t="s">
        <v>57</v>
      </c>
      <c r="T20" s="123" t="s">
        <v>57</v>
      </c>
      <c r="U20" s="123" t="s">
        <v>57</v>
      </c>
      <c r="V20" s="123" t="s">
        <v>57</v>
      </c>
      <c r="W20" s="123" t="s">
        <v>57</v>
      </c>
      <c r="X20" s="123" t="s">
        <v>57</v>
      </c>
      <c r="Y20" s="123" t="s">
        <v>57</v>
      </c>
      <c r="Z20" s="123" t="s">
        <v>57</v>
      </c>
      <c r="AA20" s="114"/>
    </row>
    <row r="21" spans="9:27" x14ac:dyDescent="0.2">
      <c r="I21" s="109">
        <v>2</v>
      </c>
      <c r="K21" s="117"/>
      <c r="L21" s="216"/>
      <c r="M21" s="119"/>
      <c r="N21" s="119"/>
      <c r="O21" s="119"/>
      <c r="P21" s="119"/>
      <c r="Q21" s="119"/>
      <c r="R21" s="119"/>
      <c r="S21" s="119"/>
      <c r="T21" s="119"/>
      <c r="U21" s="119"/>
      <c r="V21" s="119"/>
      <c r="W21" s="119"/>
      <c r="X21" s="119"/>
      <c r="Y21" s="119"/>
      <c r="Z21" s="124"/>
      <c r="AA21" s="114"/>
    </row>
    <row r="22" spans="9:27" x14ac:dyDescent="0.2">
      <c r="I22" s="109">
        <v>3</v>
      </c>
      <c r="K22" s="118"/>
      <c r="L22" s="217" t="s">
        <v>448</v>
      </c>
      <c r="M22" s="116"/>
      <c r="N22" s="121"/>
      <c r="O22" s="121"/>
      <c r="P22" s="121"/>
      <c r="Q22" s="121"/>
      <c r="R22" s="121"/>
      <c r="S22" s="121"/>
      <c r="T22" s="121"/>
      <c r="U22" s="121"/>
      <c r="V22" s="121"/>
      <c r="W22" s="121"/>
      <c r="X22" s="121"/>
      <c r="Y22" s="121"/>
      <c r="Z22" s="125"/>
      <c r="AA22" s="114"/>
    </row>
    <row r="23" spans="9:27" x14ac:dyDescent="0.2">
      <c r="I23" s="109">
        <v>4</v>
      </c>
      <c r="K23" s="118"/>
      <c r="L23" s="217"/>
      <c r="M23" s="209"/>
      <c r="N23" s="119"/>
      <c r="O23" s="119"/>
      <c r="P23" s="119"/>
      <c r="Q23" s="119"/>
      <c r="R23" s="119"/>
      <c r="S23" s="119"/>
      <c r="T23" s="119"/>
      <c r="U23" s="119"/>
      <c r="V23" s="119"/>
      <c r="W23" s="119"/>
      <c r="X23" s="119"/>
      <c r="Y23" s="119"/>
      <c r="Z23" s="124"/>
      <c r="AA23" s="114"/>
    </row>
    <row r="24" spans="9:27" x14ac:dyDescent="0.2">
      <c r="I24" s="109">
        <v>5</v>
      </c>
      <c r="K24" s="115" t="s">
        <v>3413</v>
      </c>
      <c r="L24" s="215"/>
      <c r="M24" s="123" t="s">
        <v>3410</v>
      </c>
      <c r="N24" s="123" t="s">
        <v>589</v>
      </c>
      <c r="O24" s="123">
        <v>0</v>
      </c>
      <c r="P24" s="123"/>
      <c r="Q24" s="123">
        <v>0</v>
      </c>
      <c r="R24" s="123" t="s">
        <v>57</v>
      </c>
      <c r="S24" s="123" t="s">
        <v>57</v>
      </c>
      <c r="T24" s="123" t="s">
        <v>57</v>
      </c>
      <c r="U24" s="123" t="s">
        <v>57</v>
      </c>
      <c r="V24" s="123" t="s">
        <v>57</v>
      </c>
      <c r="W24" s="123" t="s">
        <v>57</v>
      </c>
      <c r="X24" s="123" t="s">
        <v>57</v>
      </c>
      <c r="Y24" s="123" t="s">
        <v>57</v>
      </c>
      <c r="Z24" s="123" t="s">
        <v>57</v>
      </c>
      <c r="AA24" s="114"/>
    </row>
    <row r="25" spans="9:27" x14ac:dyDescent="0.2">
      <c r="I25" s="109">
        <v>6</v>
      </c>
      <c r="K25" s="117"/>
      <c r="L25" s="216"/>
      <c r="M25" s="119"/>
      <c r="N25" s="119"/>
      <c r="O25" s="119"/>
      <c r="P25" s="119"/>
      <c r="Q25" s="119"/>
      <c r="R25" s="119"/>
      <c r="S25" s="119"/>
      <c r="T25" s="119"/>
      <c r="U25" s="119"/>
      <c r="V25" s="119"/>
      <c r="W25" s="119"/>
      <c r="X25" s="119"/>
      <c r="Y25" s="119"/>
      <c r="Z25" s="124"/>
      <c r="AA25" s="114"/>
    </row>
    <row r="26" spans="9:27" x14ac:dyDescent="0.2">
      <c r="I26" s="109">
        <v>7</v>
      </c>
      <c r="K26" s="118"/>
      <c r="L26" s="217" t="s">
        <v>448</v>
      </c>
      <c r="M26" s="116"/>
      <c r="N26" s="121"/>
      <c r="O26" s="121"/>
      <c r="P26" s="121"/>
      <c r="Q26" s="121"/>
      <c r="R26" s="121"/>
      <c r="S26" s="121"/>
      <c r="T26" s="121"/>
      <c r="U26" s="121"/>
      <c r="V26" s="121"/>
      <c r="W26" s="121"/>
      <c r="X26" s="121"/>
      <c r="Y26" s="121"/>
      <c r="Z26" s="125"/>
      <c r="AA26" s="114"/>
    </row>
    <row r="27" spans="9:27" x14ac:dyDescent="0.2">
      <c r="I27" s="109">
        <v>8</v>
      </c>
      <c r="K27" s="120"/>
      <c r="L27" s="218"/>
      <c r="M27" s="205"/>
      <c r="N27" s="206"/>
      <c r="O27" s="206"/>
      <c r="P27" s="206"/>
      <c r="Q27" s="206"/>
      <c r="R27" s="206"/>
      <c r="S27" s="206"/>
      <c r="T27" s="206"/>
      <c r="U27" s="206"/>
      <c r="V27" s="206"/>
      <c r="W27" s="206"/>
      <c r="X27" s="206"/>
      <c r="Y27" s="206"/>
      <c r="Z27" s="207"/>
      <c r="AA27" s="114"/>
    </row>
    <row r="28" spans="9:27" x14ac:dyDescent="0.2">
      <c r="I28" s="114" t="s">
        <v>59</v>
      </c>
    </row>
  </sheetData>
  <sheetProtection password="BFBD" sheet="1" objects="1" scenarios="1"/>
  <mergeCells count="34">
    <mergeCell ref="N8:R9"/>
    <mergeCell ref="X10:Z10"/>
    <mergeCell ref="S7:T7"/>
    <mergeCell ref="X7:Z7"/>
    <mergeCell ref="U7:W7"/>
    <mergeCell ref="U8:W8"/>
    <mergeCell ref="N7:P7"/>
    <mergeCell ref="S8:T8"/>
    <mergeCell ref="X2:Z2"/>
    <mergeCell ref="X3:Z3"/>
    <mergeCell ref="X4:Z4"/>
    <mergeCell ref="Y6:Z6"/>
    <mergeCell ref="L5:Z5"/>
    <mergeCell ref="S6:T6"/>
    <mergeCell ref="N3:P3"/>
    <mergeCell ref="L4:P4"/>
    <mergeCell ref="V6:W6"/>
    <mergeCell ref="K6:Q6"/>
    <mergeCell ref="N11:P11"/>
    <mergeCell ref="N10:P10"/>
    <mergeCell ref="S9:T9"/>
    <mergeCell ref="X8:Z8"/>
    <mergeCell ref="S13:S14"/>
    <mergeCell ref="U10:W10"/>
    <mergeCell ref="X9:Z9"/>
    <mergeCell ref="W13:Z13"/>
    <mergeCell ref="K12:Q12"/>
    <mergeCell ref="T13:V13"/>
    <mergeCell ref="R12:Z12"/>
    <mergeCell ref="S11:T11"/>
    <mergeCell ref="U11:W11"/>
    <mergeCell ref="X11:Z11"/>
    <mergeCell ref="U9:W9"/>
    <mergeCell ref="S10:T10"/>
  </mergeCells>
  <phoneticPr fontId="0" type="noConversion"/>
  <pageMargins left="0.32" right="0.12" top="0.95" bottom="1.28" header="0.31" footer="0.49"/>
  <pageSetup scale="75" orientation="landscape" r:id="rId1"/>
  <headerFooter alignWithMargins="0">
    <oddHeader xml:space="preserve">&amp;C&amp;"Times New Roman,Bold"&amp;12South Florida Water Management District&amp;"Arial,Regular"&amp;10
&amp;"Times New Roman,Bold"&amp;12SURFACE WATER&amp;"Arial,Regular"&amp;10 &amp;"Times New Roman,Bold"&amp;12NOTEBOOK
</oddHeader>
    <oddFooter>&amp;C&amp;8Signature/Date: ____________________/_________     Reviewed By/Date:____________________/_________&amp;R&amp;"Times New Roman,Regular"&amp;8Page &amp;P of &amp;N</oddFooter>
  </headerFooter>
  <drawing r:id="rId2"/>
  <legacyDrawing r:id="rId3"/>
  <controls>
    <mc:AlternateContent xmlns:mc="http://schemas.openxmlformats.org/markup-compatibility/2006">
      <mc:Choice Requires="x14">
        <control shapeId="16393" r:id="rId4" name="cmdMain">
          <controlPr defaultSize="0" print="0" autoLine="0" autoPict="0" r:id="rId5">
            <anchor>
              <from>
                <xdr:col>11</xdr:col>
                <xdr:colOff>247650</xdr:colOff>
                <xdr:row>0</xdr:row>
                <xdr:rowOff>323850</xdr:rowOff>
              </from>
              <to>
                <xdr:col>11</xdr:col>
                <xdr:colOff>971550</xdr:colOff>
                <xdr:row>0</xdr:row>
                <xdr:rowOff>590550</xdr:rowOff>
              </to>
            </anchor>
          </controlPr>
        </control>
      </mc:Choice>
      <mc:Fallback>
        <control shapeId="16393" r:id="rId4" name="cmdMain"/>
      </mc:Fallback>
    </mc:AlternateContent>
    <mc:AlternateContent xmlns:mc="http://schemas.openxmlformats.org/markup-compatibility/2006">
      <mc:Choice Requires="x14">
        <control shapeId="16392" r:id="rId6" name="cmdPrint">
          <controlPr defaultSize="0" print="0" autoLine="0" r:id="rId7">
            <anchor>
              <from>
                <xdr:col>10</xdr:col>
                <xdr:colOff>323850</xdr:colOff>
                <xdr:row>0</xdr:row>
                <xdr:rowOff>323850</xdr:rowOff>
              </from>
              <to>
                <xdr:col>11</xdr:col>
                <xdr:colOff>171450</xdr:colOff>
                <xdr:row>0</xdr:row>
                <xdr:rowOff>590550</xdr:rowOff>
              </to>
            </anchor>
          </controlPr>
        </control>
      </mc:Choice>
      <mc:Fallback>
        <control shapeId="16392" r:id="rId6" name="cmdPrin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A100"/>
  <sheetViews>
    <sheetView showGridLines="0" topLeftCell="J1" workbookViewId="0">
      <selection activeCell="K29" sqref="K29"/>
    </sheetView>
  </sheetViews>
  <sheetFormatPr defaultColWidth="9.140625" defaultRowHeight="11.25" x14ac:dyDescent="0.2"/>
  <cols>
    <col min="1" max="7" width="9.140625" style="2" hidden="1" customWidth="1"/>
    <col min="8" max="8" width="6.42578125" style="2" hidden="1" customWidth="1"/>
    <col min="9" max="9" width="16" style="2" hidden="1" customWidth="1"/>
    <col min="10" max="10" width="4.28515625" style="2" customWidth="1"/>
    <col min="11" max="11" width="11.42578125" style="2" customWidth="1"/>
    <col min="12" max="12" width="9" style="2" customWidth="1"/>
    <col min="13" max="13" width="18.140625" style="2" customWidth="1"/>
    <col min="14" max="14" width="13.42578125" style="2" customWidth="1"/>
    <col min="15" max="17" width="5.7109375" style="2" customWidth="1"/>
    <col min="18" max="18" width="8" style="2" customWidth="1"/>
    <col min="19" max="20" width="7.140625" style="2" customWidth="1"/>
    <col min="21" max="21" width="7" style="2" customWidth="1"/>
    <col min="22" max="22" width="18.42578125" style="2" customWidth="1"/>
    <col min="23" max="23" width="7.85546875" style="2" customWidth="1"/>
    <col min="24" max="24" width="8" style="2" customWidth="1"/>
    <col min="25" max="26" width="7.28515625" style="2" customWidth="1"/>
    <col min="27" max="16384" width="9.140625" style="2"/>
  </cols>
  <sheetData>
    <row r="1" spans="8:27" x14ac:dyDescent="0.2">
      <c r="H1" s="97" t="s">
        <v>450</v>
      </c>
      <c r="I1" s="2" t="s">
        <v>58</v>
      </c>
    </row>
    <row r="2" spans="8:27" x14ac:dyDescent="0.2">
      <c r="H2" s="8">
        <v>150</v>
      </c>
    </row>
    <row r="3" spans="8:27" x14ac:dyDescent="0.2">
      <c r="K3" s="11"/>
      <c r="L3" s="96"/>
      <c r="M3" s="90"/>
      <c r="N3" s="358" t="s">
        <v>429</v>
      </c>
      <c r="O3" s="358"/>
      <c r="P3" s="358"/>
      <c r="Q3" s="358"/>
      <c r="R3" s="358"/>
      <c r="S3" s="358"/>
      <c r="T3" s="358"/>
      <c r="U3" s="358"/>
      <c r="V3" s="358"/>
      <c r="W3" s="11"/>
      <c r="X3" s="89"/>
    </row>
    <row r="4" spans="8:27" x14ac:dyDescent="0.2">
      <c r="O4" s="358" t="s">
        <v>430</v>
      </c>
      <c r="P4" s="358"/>
      <c r="Q4" s="358"/>
      <c r="R4" s="358"/>
      <c r="S4" s="358"/>
      <c r="T4" s="358"/>
      <c r="U4" s="358"/>
    </row>
    <row r="5" spans="8:27" x14ac:dyDescent="0.2">
      <c r="O5" s="359">
        <f ca="1">NOW()</f>
        <v>43418.592989351855</v>
      </c>
      <c r="P5" s="360"/>
      <c r="Q5" s="360"/>
      <c r="R5" s="360"/>
      <c r="S5" s="360"/>
      <c r="T5" s="360"/>
      <c r="U5" s="360"/>
    </row>
    <row r="7" spans="8:27" ht="12.75" x14ac:dyDescent="0.2">
      <c r="P7" s="96" t="s">
        <v>431</v>
      </c>
      <c r="Q7" s="353" t="str">
        <f>Main!$AH$34</f>
        <v>P96682</v>
      </c>
      <c r="R7" s="354"/>
      <c r="S7" s="355"/>
      <c r="V7" s="96" t="s">
        <v>432</v>
      </c>
      <c r="W7" s="94" t="str">
        <f>Main!AH36</f>
        <v>Powers, Matt O</v>
      </c>
      <c r="X7" s="94"/>
      <c r="Y7" s="88"/>
    </row>
    <row r="8" spans="8:27" x14ac:dyDescent="0.2">
      <c r="V8" s="96" t="s">
        <v>433</v>
      </c>
      <c r="W8" s="131" t="s">
        <v>2811</v>
      </c>
      <c r="X8" s="142"/>
      <c r="Y8" s="143"/>
    </row>
    <row r="9" spans="8:27" x14ac:dyDescent="0.2">
      <c r="L9" s="95"/>
      <c r="Q9" s="12"/>
      <c r="R9" s="90"/>
      <c r="V9" s="96" t="s">
        <v>434</v>
      </c>
      <c r="W9" s="131" t="s">
        <v>2812</v>
      </c>
      <c r="X9" s="142"/>
      <c r="Y9" s="143"/>
    </row>
    <row r="10" spans="8:27" x14ac:dyDescent="0.2">
      <c r="L10" s="352"/>
      <c r="M10" s="352"/>
      <c r="Q10" s="12"/>
      <c r="R10" s="90"/>
    </row>
    <row r="11" spans="8:27" x14ac:dyDescent="0.2">
      <c r="Q11" s="12"/>
      <c r="R11" s="90"/>
      <c r="V11" s="12"/>
      <c r="W11" s="3"/>
      <c r="X11" s="3"/>
    </row>
    <row r="12" spans="8:27" ht="13.5" hidden="1" customHeight="1" x14ac:dyDescent="0.2">
      <c r="K12" s="91">
        <v>14</v>
      </c>
      <c r="L12" s="91">
        <v>98</v>
      </c>
      <c r="M12" s="91">
        <v>84</v>
      </c>
      <c r="N12" s="91">
        <v>16</v>
      </c>
      <c r="O12" s="91">
        <v>85</v>
      </c>
      <c r="P12" s="91">
        <v>86</v>
      </c>
      <c r="Q12" s="91">
        <v>87</v>
      </c>
      <c r="R12" s="91">
        <v>88</v>
      </c>
      <c r="S12" s="2">
        <v>89</v>
      </c>
      <c r="T12" s="91">
        <v>17</v>
      </c>
      <c r="U12" s="91">
        <v>90</v>
      </c>
      <c r="V12" s="91">
        <v>97</v>
      </c>
      <c r="W12" s="91">
        <v>91</v>
      </c>
      <c r="X12" s="2">
        <v>92</v>
      </c>
      <c r="Y12" s="91">
        <v>93</v>
      </c>
      <c r="Z12" s="2">
        <v>96</v>
      </c>
      <c r="AA12" s="2" t="s">
        <v>59</v>
      </c>
    </row>
    <row r="13" spans="8:27" x14ac:dyDescent="0.2">
      <c r="K13" s="92" t="s">
        <v>435</v>
      </c>
      <c r="L13" s="92" t="s">
        <v>162</v>
      </c>
      <c r="M13" s="92" t="s">
        <v>436</v>
      </c>
      <c r="N13" s="92" t="s">
        <v>437</v>
      </c>
      <c r="O13" s="92" t="s">
        <v>438</v>
      </c>
      <c r="P13" s="92" t="s">
        <v>439</v>
      </c>
      <c r="Q13" s="92" t="s">
        <v>440</v>
      </c>
      <c r="R13" s="92" t="s">
        <v>81</v>
      </c>
      <c r="S13" s="92" t="s">
        <v>441</v>
      </c>
      <c r="T13" s="92" t="s">
        <v>442</v>
      </c>
      <c r="U13" s="92" t="s">
        <v>443</v>
      </c>
      <c r="V13" s="92" t="s">
        <v>56</v>
      </c>
      <c r="W13" s="92" t="s">
        <v>444</v>
      </c>
      <c r="X13" s="92" t="s">
        <v>445</v>
      </c>
      <c r="Y13" s="93" t="s">
        <v>446</v>
      </c>
      <c r="Z13" s="21" t="s">
        <v>447</v>
      </c>
    </row>
    <row r="14" spans="8:27" x14ac:dyDescent="0.2">
      <c r="I14" s="2">
        <v>1</v>
      </c>
      <c r="K14" s="98" t="s">
        <v>3453</v>
      </c>
      <c r="L14" s="99" t="s">
        <v>253</v>
      </c>
      <c r="M14" s="213"/>
      <c r="N14" s="99" t="s">
        <v>3448</v>
      </c>
      <c r="O14" s="99">
        <v>0</v>
      </c>
      <c r="P14" s="99">
        <v>0</v>
      </c>
      <c r="Q14" s="99">
        <v>0</v>
      </c>
      <c r="R14" s="99" t="s">
        <v>99</v>
      </c>
      <c r="S14" s="99" t="s">
        <v>3443</v>
      </c>
      <c r="T14" s="99" t="s">
        <v>589</v>
      </c>
      <c r="U14" s="99" t="s">
        <v>236</v>
      </c>
      <c r="V14" s="213" t="s">
        <v>57</v>
      </c>
      <c r="W14" s="99"/>
      <c r="X14" s="99"/>
      <c r="Y14" s="99"/>
      <c r="Z14" s="99"/>
    </row>
    <row r="15" spans="8:27" x14ac:dyDescent="0.2">
      <c r="I15" s="2">
        <v>2</v>
      </c>
      <c r="K15" s="164" t="s">
        <v>448</v>
      </c>
      <c r="L15" s="167"/>
      <c r="M15" s="214"/>
      <c r="N15" s="165"/>
      <c r="O15" s="165"/>
      <c r="P15" s="165"/>
      <c r="Q15" s="165"/>
      <c r="R15" s="165"/>
      <c r="S15" s="165"/>
      <c r="T15" s="165"/>
      <c r="U15" s="165"/>
      <c r="V15" s="214"/>
      <c r="W15" s="165"/>
      <c r="X15" s="165"/>
      <c r="Y15" s="165"/>
      <c r="Z15" s="166"/>
    </row>
    <row r="16" spans="8:27" x14ac:dyDescent="0.2">
      <c r="I16" s="2">
        <v>3</v>
      </c>
      <c r="K16" s="164" t="s">
        <v>358</v>
      </c>
      <c r="L16" s="167" t="s">
        <v>3473</v>
      </c>
      <c r="M16" s="214"/>
      <c r="N16" s="165"/>
      <c r="O16" s="165"/>
      <c r="P16" s="165"/>
      <c r="Q16" s="165"/>
      <c r="R16" s="165"/>
      <c r="S16" s="165"/>
      <c r="T16" s="165"/>
      <c r="U16" s="165"/>
      <c r="V16" s="214"/>
      <c r="W16" s="165"/>
      <c r="X16" s="165"/>
      <c r="Y16" s="165"/>
      <c r="Z16" s="166"/>
    </row>
    <row r="17" spans="9:26" x14ac:dyDescent="0.2">
      <c r="I17" s="2">
        <v>4</v>
      </c>
      <c r="K17" s="98" t="s">
        <v>3454</v>
      </c>
      <c r="L17" s="99" t="s">
        <v>253</v>
      </c>
      <c r="M17" s="213"/>
      <c r="N17" s="99" t="s">
        <v>3448</v>
      </c>
      <c r="O17" s="99">
        <v>0</v>
      </c>
      <c r="P17" s="99">
        <v>0</v>
      </c>
      <c r="Q17" s="99">
        <v>0</v>
      </c>
      <c r="R17" s="99" t="s">
        <v>99</v>
      </c>
      <c r="S17" s="99" t="s">
        <v>3443</v>
      </c>
      <c r="T17" s="99" t="s">
        <v>211</v>
      </c>
      <c r="U17" s="99" t="s">
        <v>236</v>
      </c>
      <c r="V17" s="213"/>
      <c r="W17" s="99" t="s">
        <v>57</v>
      </c>
      <c r="X17" s="99" t="s">
        <v>57</v>
      </c>
      <c r="Y17" s="99" t="s">
        <v>57</v>
      </c>
      <c r="Z17" s="99"/>
    </row>
    <row r="18" spans="9:26" x14ac:dyDescent="0.2">
      <c r="I18" s="2">
        <v>5</v>
      </c>
      <c r="K18" s="164" t="s">
        <v>448</v>
      </c>
      <c r="L18" s="167"/>
      <c r="M18" s="214"/>
      <c r="N18" s="165"/>
      <c r="O18" s="165"/>
      <c r="P18" s="165"/>
      <c r="Q18" s="165"/>
      <c r="R18" s="165"/>
      <c r="S18" s="165"/>
      <c r="T18" s="165"/>
      <c r="U18" s="165"/>
      <c r="V18" s="214"/>
      <c r="W18" s="165"/>
      <c r="X18" s="165"/>
      <c r="Y18" s="165"/>
      <c r="Z18" s="166"/>
    </row>
    <row r="19" spans="9:26" x14ac:dyDescent="0.2">
      <c r="I19" s="2">
        <v>6</v>
      </c>
      <c r="K19" s="164" t="s">
        <v>358</v>
      </c>
      <c r="L19" s="167" t="s">
        <v>3473</v>
      </c>
      <c r="M19" s="214"/>
      <c r="N19" s="165"/>
      <c r="O19" s="165"/>
      <c r="P19" s="165"/>
      <c r="Q19" s="165"/>
      <c r="R19" s="165"/>
      <c r="S19" s="165"/>
      <c r="T19" s="165"/>
      <c r="U19" s="165"/>
      <c r="V19" s="214"/>
      <c r="W19" s="165"/>
      <c r="X19" s="165"/>
      <c r="Y19" s="165"/>
      <c r="Z19" s="166"/>
    </row>
    <row r="20" spans="9:26" x14ac:dyDescent="0.2">
      <c r="I20" s="2">
        <v>7</v>
      </c>
      <c r="K20" s="98" t="s">
        <v>3455</v>
      </c>
      <c r="L20" s="99" t="s">
        <v>253</v>
      </c>
      <c r="M20" s="213"/>
      <c r="N20" s="99" t="s">
        <v>3452</v>
      </c>
      <c r="O20" s="99">
        <v>0</v>
      </c>
      <c r="P20" s="99">
        <v>0</v>
      </c>
      <c r="Q20" s="99">
        <v>0</v>
      </c>
      <c r="R20" s="99" t="s">
        <v>99</v>
      </c>
      <c r="S20" s="99" t="s">
        <v>3443</v>
      </c>
      <c r="T20" s="99" t="s">
        <v>589</v>
      </c>
      <c r="U20" s="99" t="s">
        <v>236</v>
      </c>
      <c r="V20" s="213" t="s">
        <v>57</v>
      </c>
      <c r="W20" s="99"/>
      <c r="X20" s="99"/>
      <c r="Y20" s="99"/>
      <c r="Z20" s="99"/>
    </row>
    <row r="21" spans="9:26" x14ac:dyDescent="0.2">
      <c r="I21" s="2">
        <v>8</v>
      </c>
      <c r="K21" s="164" t="s">
        <v>448</v>
      </c>
      <c r="L21" s="167"/>
      <c r="M21" s="214"/>
      <c r="N21" s="165"/>
      <c r="O21" s="165"/>
      <c r="P21" s="165"/>
      <c r="Q21" s="165"/>
      <c r="R21" s="165"/>
      <c r="S21" s="165"/>
      <c r="T21" s="165"/>
      <c r="U21" s="165"/>
      <c r="V21" s="214"/>
      <c r="W21" s="165"/>
      <c r="X21" s="165"/>
      <c r="Y21" s="165"/>
      <c r="Z21" s="166"/>
    </row>
    <row r="22" spans="9:26" x14ac:dyDescent="0.2">
      <c r="I22" s="2">
        <v>9</v>
      </c>
      <c r="K22" s="164" t="s">
        <v>358</v>
      </c>
      <c r="L22" s="167" t="s">
        <v>3052</v>
      </c>
      <c r="M22" s="214"/>
      <c r="N22" s="165"/>
      <c r="O22" s="165"/>
      <c r="P22" s="165"/>
      <c r="Q22" s="165"/>
      <c r="R22" s="165"/>
      <c r="S22" s="165"/>
      <c r="T22" s="165"/>
      <c r="U22" s="165"/>
      <c r="V22" s="214"/>
      <c r="W22" s="165"/>
      <c r="X22" s="165"/>
      <c r="Y22" s="165"/>
      <c r="Z22" s="166"/>
    </row>
    <row r="23" spans="9:26" x14ac:dyDescent="0.2">
      <c r="I23" s="2">
        <v>10</v>
      </c>
      <c r="K23" s="98" t="s">
        <v>3456</v>
      </c>
      <c r="L23" s="99" t="s">
        <v>253</v>
      </c>
      <c r="M23" s="213"/>
      <c r="N23" s="99" t="s">
        <v>3452</v>
      </c>
      <c r="O23" s="99">
        <v>0</v>
      </c>
      <c r="P23" s="99">
        <v>0</v>
      </c>
      <c r="Q23" s="99">
        <v>0</v>
      </c>
      <c r="R23" s="99" t="s">
        <v>99</v>
      </c>
      <c r="S23" s="99" t="s">
        <v>3443</v>
      </c>
      <c r="T23" s="99" t="s">
        <v>211</v>
      </c>
      <c r="U23" s="99" t="s">
        <v>236</v>
      </c>
      <c r="V23" s="213"/>
      <c r="W23" s="99" t="s">
        <v>57</v>
      </c>
      <c r="X23" s="99" t="s">
        <v>57</v>
      </c>
      <c r="Y23" s="99" t="s">
        <v>57</v>
      </c>
      <c r="Z23" s="99"/>
    </row>
    <row r="24" spans="9:26" x14ac:dyDescent="0.2">
      <c r="I24" s="2">
        <v>11</v>
      </c>
      <c r="K24" s="164" t="s">
        <v>448</v>
      </c>
      <c r="L24" s="167"/>
      <c r="M24" s="214"/>
      <c r="N24" s="165"/>
      <c r="O24" s="165"/>
      <c r="P24" s="165"/>
      <c r="Q24" s="165"/>
      <c r="R24" s="165"/>
      <c r="S24" s="165"/>
      <c r="T24" s="165"/>
      <c r="U24" s="165"/>
      <c r="V24" s="214"/>
      <c r="W24" s="165"/>
      <c r="X24" s="165"/>
      <c r="Y24" s="165"/>
      <c r="Z24" s="166"/>
    </row>
    <row r="25" spans="9:26" x14ac:dyDescent="0.2">
      <c r="I25" s="2">
        <v>12</v>
      </c>
      <c r="K25" s="164" t="s">
        <v>358</v>
      </c>
      <c r="L25" s="167" t="s">
        <v>3052</v>
      </c>
      <c r="M25" s="214"/>
      <c r="N25" s="165"/>
      <c r="O25" s="165"/>
      <c r="P25" s="165"/>
      <c r="Q25" s="165"/>
      <c r="R25" s="165"/>
      <c r="S25" s="165"/>
      <c r="T25" s="165"/>
      <c r="U25" s="165"/>
      <c r="V25" s="214"/>
      <c r="W25" s="165"/>
      <c r="X25" s="165"/>
      <c r="Y25" s="165"/>
      <c r="Z25" s="166"/>
    </row>
    <row r="26" spans="9:26" x14ac:dyDescent="0.2">
      <c r="I26" s="2">
        <v>13</v>
      </c>
      <c r="K26" s="98" t="s">
        <v>3457</v>
      </c>
      <c r="L26" s="99" t="s">
        <v>253</v>
      </c>
      <c r="M26" s="213"/>
      <c r="N26" s="99" t="s">
        <v>3446</v>
      </c>
      <c r="O26" s="99">
        <v>0</v>
      </c>
      <c r="P26" s="99">
        <v>0</v>
      </c>
      <c r="Q26" s="99">
        <v>0</v>
      </c>
      <c r="R26" s="99" t="s">
        <v>99</v>
      </c>
      <c r="S26" s="99" t="s">
        <v>3443</v>
      </c>
      <c r="T26" s="99" t="s">
        <v>589</v>
      </c>
      <c r="U26" s="99" t="s">
        <v>236</v>
      </c>
      <c r="V26" s="213" t="s">
        <v>57</v>
      </c>
      <c r="W26" s="99"/>
      <c r="X26" s="99"/>
      <c r="Y26" s="99"/>
      <c r="Z26" s="99"/>
    </row>
    <row r="27" spans="9:26" x14ac:dyDescent="0.2">
      <c r="I27" s="2">
        <v>14</v>
      </c>
      <c r="K27" s="164" t="s">
        <v>448</v>
      </c>
      <c r="L27" s="167"/>
      <c r="M27" s="214"/>
      <c r="N27" s="165"/>
      <c r="O27" s="165"/>
      <c r="P27" s="165"/>
      <c r="Q27" s="165"/>
      <c r="R27" s="165"/>
      <c r="S27" s="165"/>
      <c r="T27" s="165"/>
      <c r="U27" s="165"/>
      <c r="V27" s="214"/>
      <c r="W27" s="165"/>
      <c r="X27" s="165"/>
      <c r="Y27" s="165"/>
      <c r="Z27" s="166"/>
    </row>
    <row r="28" spans="9:26" x14ac:dyDescent="0.2">
      <c r="I28" s="2">
        <v>15</v>
      </c>
      <c r="K28" s="164" t="s">
        <v>358</v>
      </c>
      <c r="L28" s="167" t="s">
        <v>3052</v>
      </c>
      <c r="M28" s="214"/>
      <c r="N28" s="165"/>
      <c r="O28" s="165"/>
      <c r="P28" s="165"/>
      <c r="Q28" s="165"/>
      <c r="R28" s="165"/>
      <c r="S28" s="165"/>
      <c r="T28" s="165"/>
      <c r="U28" s="165"/>
      <c r="V28" s="214"/>
      <c r="W28" s="165"/>
      <c r="X28" s="165"/>
      <c r="Y28" s="165"/>
      <c r="Z28" s="166"/>
    </row>
    <row r="29" spans="9:26" x14ac:dyDescent="0.2">
      <c r="I29" s="2">
        <v>16</v>
      </c>
      <c r="K29" s="98" t="s">
        <v>3458</v>
      </c>
      <c r="L29" s="99" t="s">
        <v>253</v>
      </c>
      <c r="M29" s="213"/>
      <c r="N29" s="99" t="s">
        <v>3446</v>
      </c>
      <c r="O29" s="99">
        <v>0</v>
      </c>
      <c r="P29" s="99">
        <v>0</v>
      </c>
      <c r="Q29" s="99">
        <v>0</v>
      </c>
      <c r="R29" s="99" t="s">
        <v>99</v>
      </c>
      <c r="S29" s="99" t="s">
        <v>3443</v>
      </c>
      <c r="T29" s="99" t="s">
        <v>212</v>
      </c>
      <c r="U29" s="99" t="s">
        <v>236</v>
      </c>
      <c r="V29" s="213"/>
      <c r="W29" s="99" t="s">
        <v>57</v>
      </c>
      <c r="X29" s="99" t="s">
        <v>57</v>
      </c>
      <c r="Y29" s="99" t="s">
        <v>57</v>
      </c>
      <c r="Z29" s="99"/>
    </row>
    <row r="30" spans="9:26" x14ac:dyDescent="0.2">
      <c r="I30" s="2">
        <v>17</v>
      </c>
      <c r="K30" s="164" t="s">
        <v>448</v>
      </c>
      <c r="L30" s="167"/>
      <c r="M30" s="214"/>
      <c r="N30" s="165"/>
      <c r="O30" s="165"/>
      <c r="P30" s="165"/>
      <c r="Q30" s="165"/>
      <c r="R30" s="165"/>
      <c r="S30" s="165"/>
      <c r="T30" s="165"/>
      <c r="U30" s="165"/>
      <c r="V30" s="214"/>
      <c r="W30" s="165"/>
      <c r="X30" s="165"/>
      <c r="Y30" s="165"/>
      <c r="Z30" s="166"/>
    </row>
    <row r="31" spans="9:26" x14ac:dyDescent="0.2">
      <c r="I31" s="2">
        <v>18</v>
      </c>
      <c r="K31" s="164" t="s">
        <v>358</v>
      </c>
      <c r="L31" s="167" t="s">
        <v>3052</v>
      </c>
      <c r="M31" s="214"/>
      <c r="N31" s="165"/>
      <c r="O31" s="165"/>
      <c r="P31" s="165"/>
      <c r="Q31" s="165"/>
      <c r="R31" s="165"/>
      <c r="S31" s="165"/>
      <c r="T31" s="165"/>
      <c r="U31" s="165"/>
      <c r="V31" s="214"/>
      <c r="W31" s="165"/>
      <c r="X31" s="165"/>
      <c r="Y31" s="165"/>
      <c r="Z31" s="166"/>
    </row>
    <row r="32" spans="9:26" x14ac:dyDescent="0.2">
      <c r="I32" s="2">
        <v>19</v>
      </c>
      <c r="K32" s="98" t="s">
        <v>3459</v>
      </c>
      <c r="L32" s="99" t="s">
        <v>253</v>
      </c>
      <c r="M32" s="213"/>
      <c r="N32" s="99" t="s">
        <v>3447</v>
      </c>
      <c r="O32" s="99">
        <v>0</v>
      </c>
      <c r="P32" s="99">
        <v>0</v>
      </c>
      <c r="Q32" s="99">
        <v>0</v>
      </c>
      <c r="R32" s="99" t="s">
        <v>99</v>
      </c>
      <c r="S32" s="99" t="s">
        <v>3443</v>
      </c>
      <c r="T32" s="99" t="s">
        <v>589</v>
      </c>
      <c r="U32" s="99" t="s">
        <v>236</v>
      </c>
      <c r="V32" s="213" t="s">
        <v>57</v>
      </c>
      <c r="W32" s="99"/>
      <c r="X32" s="99"/>
      <c r="Y32" s="99"/>
      <c r="Z32" s="99"/>
    </row>
    <row r="33" spans="9:26" x14ac:dyDescent="0.2">
      <c r="I33" s="2">
        <v>20</v>
      </c>
      <c r="K33" s="164" t="s">
        <v>448</v>
      </c>
      <c r="L33" s="167"/>
      <c r="M33" s="214"/>
      <c r="N33" s="165"/>
      <c r="O33" s="165"/>
      <c r="P33" s="165"/>
      <c r="Q33" s="165"/>
      <c r="R33" s="165"/>
      <c r="S33" s="165"/>
      <c r="T33" s="165"/>
      <c r="U33" s="165"/>
      <c r="V33" s="214"/>
      <c r="W33" s="165"/>
      <c r="X33" s="165"/>
      <c r="Y33" s="165"/>
      <c r="Z33" s="166"/>
    </row>
    <row r="34" spans="9:26" x14ac:dyDescent="0.2">
      <c r="I34" s="2">
        <v>21</v>
      </c>
      <c r="K34" s="164" t="s">
        <v>358</v>
      </c>
      <c r="L34" s="167" t="s">
        <v>3473</v>
      </c>
      <c r="M34" s="214"/>
      <c r="N34" s="165"/>
      <c r="O34" s="165"/>
      <c r="P34" s="165"/>
      <c r="Q34" s="165"/>
      <c r="R34" s="165"/>
      <c r="S34" s="165"/>
      <c r="T34" s="165"/>
      <c r="U34" s="165"/>
      <c r="V34" s="214"/>
      <c r="W34" s="165"/>
      <c r="X34" s="165"/>
      <c r="Y34" s="165"/>
      <c r="Z34" s="166"/>
    </row>
    <row r="35" spans="9:26" x14ac:dyDescent="0.2">
      <c r="I35" s="2">
        <v>22</v>
      </c>
      <c r="K35" s="98" t="s">
        <v>3460</v>
      </c>
      <c r="L35" s="99" t="s">
        <v>253</v>
      </c>
      <c r="M35" s="213"/>
      <c r="N35" s="99" t="s">
        <v>3447</v>
      </c>
      <c r="O35" s="99">
        <v>0</v>
      </c>
      <c r="P35" s="99">
        <v>0</v>
      </c>
      <c r="Q35" s="99">
        <v>0</v>
      </c>
      <c r="R35" s="99" t="s">
        <v>99</v>
      </c>
      <c r="S35" s="99" t="s">
        <v>3443</v>
      </c>
      <c r="T35" s="99" t="s">
        <v>211</v>
      </c>
      <c r="U35" s="99" t="s">
        <v>236</v>
      </c>
      <c r="V35" s="213"/>
      <c r="W35" s="99" t="s">
        <v>57</v>
      </c>
      <c r="X35" s="99" t="s">
        <v>57</v>
      </c>
      <c r="Y35" s="99" t="s">
        <v>57</v>
      </c>
      <c r="Z35" s="99"/>
    </row>
    <row r="36" spans="9:26" x14ac:dyDescent="0.2">
      <c r="I36" s="2">
        <v>23</v>
      </c>
      <c r="K36" s="164" t="s">
        <v>448</v>
      </c>
      <c r="L36" s="167"/>
      <c r="M36" s="214"/>
      <c r="N36" s="165"/>
      <c r="O36" s="165"/>
      <c r="P36" s="165"/>
      <c r="Q36" s="165"/>
      <c r="R36" s="165"/>
      <c r="S36" s="165"/>
      <c r="T36" s="165"/>
      <c r="U36" s="165"/>
      <c r="V36" s="214"/>
      <c r="W36" s="165"/>
      <c r="X36" s="165"/>
      <c r="Y36" s="165"/>
      <c r="Z36" s="166"/>
    </row>
    <row r="37" spans="9:26" x14ac:dyDescent="0.2">
      <c r="I37" s="2">
        <v>24</v>
      </c>
      <c r="K37" s="164" t="s">
        <v>358</v>
      </c>
      <c r="L37" s="167" t="s">
        <v>3473</v>
      </c>
      <c r="M37" s="214"/>
      <c r="N37" s="165"/>
      <c r="O37" s="165"/>
      <c r="P37" s="165"/>
      <c r="Q37" s="165"/>
      <c r="R37" s="165"/>
      <c r="S37" s="165"/>
      <c r="T37" s="165"/>
      <c r="U37" s="165"/>
      <c r="V37" s="214"/>
      <c r="W37" s="165"/>
      <c r="X37" s="165"/>
      <c r="Y37" s="165"/>
      <c r="Z37" s="166"/>
    </row>
    <row r="38" spans="9:26" x14ac:dyDescent="0.2">
      <c r="I38" s="2">
        <v>25</v>
      </c>
      <c r="K38" s="98" t="s">
        <v>3461</v>
      </c>
      <c r="L38" s="99" t="s">
        <v>253</v>
      </c>
      <c r="M38" s="213"/>
      <c r="N38" s="99" t="s">
        <v>3451</v>
      </c>
      <c r="O38" s="99">
        <v>0</v>
      </c>
      <c r="P38" s="99">
        <v>0</v>
      </c>
      <c r="Q38" s="99">
        <v>0</v>
      </c>
      <c r="R38" s="99" t="s">
        <v>99</v>
      </c>
      <c r="S38" s="99" t="s">
        <v>3443</v>
      </c>
      <c r="T38" s="99" t="s">
        <v>589</v>
      </c>
      <c r="U38" s="99" t="s">
        <v>236</v>
      </c>
      <c r="V38" s="213" t="s">
        <v>57</v>
      </c>
      <c r="W38" s="99"/>
      <c r="X38" s="99"/>
      <c r="Y38" s="99"/>
      <c r="Z38" s="99"/>
    </row>
    <row r="39" spans="9:26" x14ac:dyDescent="0.2">
      <c r="I39" s="2">
        <v>26</v>
      </c>
      <c r="K39" s="164" t="s">
        <v>448</v>
      </c>
      <c r="L39" s="167"/>
      <c r="M39" s="214"/>
      <c r="N39" s="165"/>
      <c r="O39" s="165"/>
      <c r="P39" s="165"/>
      <c r="Q39" s="165"/>
      <c r="R39" s="165"/>
      <c r="S39" s="165"/>
      <c r="T39" s="165"/>
      <c r="U39" s="165"/>
      <c r="V39" s="214"/>
      <c r="W39" s="165"/>
      <c r="X39" s="165"/>
      <c r="Y39" s="165"/>
      <c r="Z39" s="166"/>
    </row>
    <row r="40" spans="9:26" x14ac:dyDescent="0.2">
      <c r="I40" s="2">
        <v>27</v>
      </c>
      <c r="K40" s="164" t="s">
        <v>358</v>
      </c>
      <c r="L40" s="167" t="s">
        <v>3052</v>
      </c>
      <c r="M40" s="214"/>
      <c r="N40" s="165"/>
      <c r="O40" s="165"/>
      <c r="P40" s="165"/>
      <c r="Q40" s="165"/>
      <c r="R40" s="165"/>
      <c r="S40" s="165"/>
      <c r="T40" s="165"/>
      <c r="U40" s="165"/>
      <c r="V40" s="214"/>
      <c r="W40" s="165"/>
      <c r="X40" s="165"/>
      <c r="Y40" s="165"/>
      <c r="Z40" s="166"/>
    </row>
    <row r="41" spans="9:26" x14ac:dyDescent="0.2">
      <c r="I41" s="2">
        <v>28</v>
      </c>
      <c r="K41" s="98" t="s">
        <v>3462</v>
      </c>
      <c r="L41" s="99" t="s">
        <v>253</v>
      </c>
      <c r="M41" s="213"/>
      <c r="N41" s="99" t="s">
        <v>3451</v>
      </c>
      <c r="O41" s="99">
        <v>0</v>
      </c>
      <c r="P41" s="99">
        <v>0</v>
      </c>
      <c r="Q41" s="99">
        <v>0</v>
      </c>
      <c r="R41" s="99" t="s">
        <v>99</v>
      </c>
      <c r="S41" s="99" t="s">
        <v>3443</v>
      </c>
      <c r="T41" s="99" t="s">
        <v>211</v>
      </c>
      <c r="U41" s="99" t="s">
        <v>236</v>
      </c>
      <c r="V41" s="213"/>
      <c r="W41" s="99" t="s">
        <v>57</v>
      </c>
      <c r="X41" s="99" t="s">
        <v>57</v>
      </c>
      <c r="Y41" s="99" t="s">
        <v>57</v>
      </c>
      <c r="Z41" s="99"/>
    </row>
    <row r="42" spans="9:26" x14ac:dyDescent="0.2">
      <c r="I42" s="2">
        <v>29</v>
      </c>
      <c r="K42" s="164" t="s">
        <v>448</v>
      </c>
      <c r="L42" s="167"/>
      <c r="M42" s="214"/>
      <c r="N42" s="165"/>
      <c r="O42" s="165"/>
      <c r="P42" s="165"/>
      <c r="Q42" s="165"/>
      <c r="R42" s="165"/>
      <c r="S42" s="165"/>
      <c r="T42" s="165"/>
      <c r="U42" s="165"/>
      <c r="V42" s="214"/>
      <c r="W42" s="165"/>
      <c r="X42" s="165"/>
      <c r="Y42" s="165"/>
      <c r="Z42" s="166"/>
    </row>
    <row r="43" spans="9:26" x14ac:dyDescent="0.2">
      <c r="I43" s="2">
        <v>30</v>
      </c>
      <c r="K43" s="164" t="s">
        <v>358</v>
      </c>
      <c r="L43" s="167" t="s">
        <v>3052</v>
      </c>
      <c r="M43" s="214"/>
      <c r="N43" s="165"/>
      <c r="O43" s="165"/>
      <c r="P43" s="165"/>
      <c r="Q43" s="165"/>
      <c r="R43" s="165"/>
      <c r="S43" s="165"/>
      <c r="T43" s="165"/>
      <c r="U43" s="165"/>
      <c r="V43" s="214"/>
      <c r="W43" s="165"/>
      <c r="X43" s="165"/>
      <c r="Y43" s="165"/>
      <c r="Z43" s="166"/>
    </row>
    <row r="44" spans="9:26" x14ac:dyDescent="0.2">
      <c r="I44" s="2">
        <v>31</v>
      </c>
      <c r="K44" s="98" t="s">
        <v>3463</v>
      </c>
      <c r="L44" s="99" t="s">
        <v>1709</v>
      </c>
      <c r="M44" s="213"/>
      <c r="N44" s="99" t="s">
        <v>3445</v>
      </c>
      <c r="O44" s="99">
        <v>0</v>
      </c>
      <c r="P44" s="99">
        <v>0</v>
      </c>
      <c r="Q44" s="99">
        <v>0</v>
      </c>
      <c r="R44" s="99" t="s">
        <v>99</v>
      </c>
      <c r="S44" s="99" t="s">
        <v>3443</v>
      </c>
      <c r="T44" s="99" t="s">
        <v>589</v>
      </c>
      <c r="U44" s="99" t="s">
        <v>236</v>
      </c>
      <c r="V44" s="213" t="s">
        <v>57</v>
      </c>
      <c r="W44" s="99"/>
      <c r="X44" s="99"/>
      <c r="Y44" s="99"/>
      <c r="Z44" s="99"/>
    </row>
    <row r="45" spans="9:26" x14ac:dyDescent="0.2">
      <c r="I45" s="2">
        <v>32</v>
      </c>
      <c r="K45" s="164" t="s">
        <v>448</v>
      </c>
      <c r="L45" s="167" t="s">
        <v>3474</v>
      </c>
      <c r="M45" s="214"/>
      <c r="N45" s="165"/>
      <c r="O45" s="165"/>
      <c r="P45" s="165"/>
      <c r="Q45" s="165"/>
      <c r="R45" s="165"/>
      <c r="S45" s="165"/>
      <c r="T45" s="165"/>
      <c r="U45" s="165"/>
      <c r="V45" s="214"/>
      <c r="W45" s="165"/>
      <c r="X45" s="165"/>
      <c r="Y45" s="165"/>
      <c r="Z45" s="166"/>
    </row>
    <row r="46" spans="9:26" x14ac:dyDescent="0.2">
      <c r="I46" s="2">
        <v>33</v>
      </c>
      <c r="K46" s="164" t="s">
        <v>358</v>
      </c>
      <c r="L46" s="167" t="s">
        <v>3475</v>
      </c>
      <c r="M46" s="214"/>
      <c r="N46" s="165"/>
      <c r="O46" s="165"/>
      <c r="P46" s="165"/>
      <c r="Q46" s="165"/>
      <c r="R46" s="165"/>
      <c r="S46" s="165"/>
      <c r="T46" s="165"/>
      <c r="U46" s="165"/>
      <c r="V46" s="214"/>
      <c r="W46" s="165"/>
      <c r="X46" s="165"/>
      <c r="Y46" s="165"/>
      <c r="Z46" s="166"/>
    </row>
    <row r="47" spans="9:26" x14ac:dyDescent="0.2">
      <c r="I47" s="2">
        <v>34</v>
      </c>
      <c r="K47" s="98" t="s">
        <v>3464</v>
      </c>
      <c r="L47" s="99" t="s">
        <v>1709</v>
      </c>
      <c r="M47" s="213"/>
      <c r="N47" s="99" t="s">
        <v>3445</v>
      </c>
      <c r="O47" s="99">
        <v>0</v>
      </c>
      <c r="P47" s="99">
        <v>0</v>
      </c>
      <c r="Q47" s="99">
        <v>0</v>
      </c>
      <c r="R47" s="99" t="s">
        <v>99</v>
      </c>
      <c r="S47" s="99" t="s">
        <v>3443</v>
      </c>
      <c r="T47" s="99" t="s">
        <v>212</v>
      </c>
      <c r="U47" s="99" t="s">
        <v>236</v>
      </c>
      <c r="V47" s="213"/>
      <c r="W47" s="99" t="s">
        <v>57</v>
      </c>
      <c r="X47" s="99" t="s">
        <v>57</v>
      </c>
      <c r="Y47" s="99" t="s">
        <v>57</v>
      </c>
      <c r="Z47" s="99"/>
    </row>
    <row r="48" spans="9:26" x14ac:dyDescent="0.2">
      <c r="I48" s="2">
        <v>35</v>
      </c>
      <c r="K48" s="164" t="s">
        <v>448</v>
      </c>
      <c r="L48" s="167" t="s">
        <v>3474</v>
      </c>
      <c r="M48" s="214"/>
      <c r="N48" s="165"/>
      <c r="O48" s="165"/>
      <c r="P48" s="165"/>
      <c r="Q48" s="165"/>
      <c r="R48" s="165"/>
      <c r="S48" s="165"/>
      <c r="T48" s="165"/>
      <c r="U48" s="165"/>
      <c r="V48" s="214"/>
      <c r="W48" s="165"/>
      <c r="X48" s="165"/>
      <c r="Y48" s="165"/>
      <c r="Z48" s="166"/>
    </row>
    <row r="49" spans="9:26" x14ac:dyDescent="0.2">
      <c r="I49" s="2">
        <v>36</v>
      </c>
      <c r="K49" s="164" t="s">
        <v>358</v>
      </c>
      <c r="L49" s="167" t="s">
        <v>3052</v>
      </c>
      <c r="M49" s="214"/>
      <c r="N49" s="165"/>
      <c r="O49" s="165"/>
      <c r="P49" s="165"/>
      <c r="Q49" s="165"/>
      <c r="R49" s="165"/>
      <c r="S49" s="165"/>
      <c r="T49" s="165"/>
      <c r="U49" s="165"/>
      <c r="V49" s="214"/>
      <c r="W49" s="165"/>
      <c r="X49" s="165"/>
      <c r="Y49" s="165"/>
      <c r="Z49" s="166"/>
    </row>
    <row r="50" spans="9:26" x14ac:dyDescent="0.2">
      <c r="I50" s="2">
        <v>37</v>
      </c>
      <c r="K50" s="98" t="s">
        <v>3465</v>
      </c>
      <c r="L50" s="99" t="s">
        <v>1709</v>
      </c>
      <c r="M50" s="213"/>
      <c r="N50" s="99" t="s">
        <v>3444</v>
      </c>
      <c r="O50" s="99">
        <v>0</v>
      </c>
      <c r="P50" s="99">
        <v>0</v>
      </c>
      <c r="Q50" s="99">
        <v>0</v>
      </c>
      <c r="R50" s="99" t="s">
        <v>99</v>
      </c>
      <c r="S50" s="99" t="s">
        <v>3443</v>
      </c>
      <c r="T50" s="99" t="s">
        <v>589</v>
      </c>
      <c r="U50" s="99" t="s">
        <v>236</v>
      </c>
      <c r="V50" s="213" t="s">
        <v>57</v>
      </c>
      <c r="W50" s="99"/>
      <c r="X50" s="99"/>
      <c r="Y50" s="99"/>
      <c r="Z50" s="99"/>
    </row>
    <row r="51" spans="9:26" x14ac:dyDescent="0.2">
      <c r="I51" s="2">
        <v>38</v>
      </c>
      <c r="K51" s="164" t="s">
        <v>448</v>
      </c>
      <c r="L51" s="167" t="s">
        <v>3476</v>
      </c>
      <c r="M51" s="214"/>
      <c r="N51" s="165"/>
      <c r="O51" s="165"/>
      <c r="P51" s="165"/>
      <c r="Q51" s="165"/>
      <c r="R51" s="165"/>
      <c r="S51" s="165"/>
      <c r="T51" s="165"/>
      <c r="U51" s="165"/>
      <c r="V51" s="214"/>
      <c r="W51" s="165"/>
      <c r="X51" s="165"/>
      <c r="Y51" s="165"/>
      <c r="Z51" s="166"/>
    </row>
    <row r="52" spans="9:26" x14ac:dyDescent="0.2">
      <c r="I52" s="2">
        <v>39</v>
      </c>
      <c r="K52" s="164" t="s">
        <v>358</v>
      </c>
      <c r="L52" s="167" t="s">
        <v>3475</v>
      </c>
      <c r="M52" s="214"/>
      <c r="N52" s="165"/>
      <c r="O52" s="165"/>
      <c r="P52" s="165"/>
      <c r="Q52" s="165"/>
      <c r="R52" s="165"/>
      <c r="S52" s="165"/>
      <c r="T52" s="165"/>
      <c r="U52" s="165"/>
      <c r="V52" s="214"/>
      <c r="W52" s="165"/>
      <c r="X52" s="165"/>
      <c r="Y52" s="165"/>
      <c r="Z52" s="166"/>
    </row>
    <row r="53" spans="9:26" x14ac:dyDescent="0.2">
      <c r="I53" s="2">
        <v>40</v>
      </c>
      <c r="K53" s="98" t="s">
        <v>3466</v>
      </c>
      <c r="L53" s="99" t="s">
        <v>1709</v>
      </c>
      <c r="M53" s="213"/>
      <c r="N53" s="99" t="s">
        <v>3444</v>
      </c>
      <c r="O53" s="99">
        <v>0</v>
      </c>
      <c r="P53" s="99">
        <v>0</v>
      </c>
      <c r="Q53" s="99">
        <v>0</v>
      </c>
      <c r="R53" s="99" t="s">
        <v>99</v>
      </c>
      <c r="S53" s="99" t="s">
        <v>3443</v>
      </c>
      <c r="T53" s="99" t="s">
        <v>212</v>
      </c>
      <c r="U53" s="99" t="s">
        <v>236</v>
      </c>
      <c r="V53" s="213"/>
      <c r="W53" s="99" t="s">
        <v>57</v>
      </c>
      <c r="X53" s="99" t="s">
        <v>57</v>
      </c>
      <c r="Y53" s="99" t="s">
        <v>57</v>
      </c>
      <c r="Z53" s="99"/>
    </row>
    <row r="54" spans="9:26" x14ac:dyDescent="0.2">
      <c r="I54" s="2">
        <v>41</v>
      </c>
      <c r="K54" s="164" t="s">
        <v>448</v>
      </c>
      <c r="L54" s="167" t="s">
        <v>3476</v>
      </c>
      <c r="M54" s="214"/>
      <c r="N54" s="165"/>
      <c r="O54" s="165"/>
      <c r="P54" s="165"/>
      <c r="Q54" s="165"/>
      <c r="R54" s="165"/>
      <c r="S54" s="165"/>
      <c r="T54" s="165"/>
      <c r="U54" s="165"/>
      <c r="V54" s="214"/>
      <c r="W54" s="165"/>
      <c r="X54" s="165"/>
      <c r="Y54" s="165"/>
      <c r="Z54" s="166"/>
    </row>
    <row r="55" spans="9:26" x14ac:dyDescent="0.2">
      <c r="I55" s="2">
        <v>42</v>
      </c>
      <c r="K55" s="164" t="s">
        <v>358</v>
      </c>
      <c r="L55" s="167" t="s">
        <v>3052</v>
      </c>
      <c r="M55" s="214"/>
      <c r="N55" s="165"/>
      <c r="O55" s="165"/>
      <c r="P55" s="165"/>
      <c r="Q55" s="165"/>
      <c r="R55" s="165"/>
      <c r="S55" s="165"/>
      <c r="T55" s="165"/>
      <c r="U55" s="165"/>
      <c r="V55" s="214"/>
      <c r="W55" s="165"/>
      <c r="X55" s="165"/>
      <c r="Y55" s="165"/>
      <c r="Z55" s="166"/>
    </row>
    <row r="56" spans="9:26" x14ac:dyDescent="0.2">
      <c r="I56" s="2">
        <v>43</v>
      </c>
      <c r="K56" s="98" t="s">
        <v>3467</v>
      </c>
      <c r="L56" s="99" t="s">
        <v>253</v>
      </c>
      <c r="M56" s="213"/>
      <c r="N56" s="99"/>
      <c r="O56" s="99">
        <v>0</v>
      </c>
      <c r="P56" s="99">
        <v>0</v>
      </c>
      <c r="Q56" s="99">
        <v>0</v>
      </c>
      <c r="R56" s="99" t="s">
        <v>34</v>
      </c>
      <c r="S56" s="99" t="s">
        <v>3443</v>
      </c>
      <c r="T56" s="99" t="s">
        <v>589</v>
      </c>
      <c r="U56" s="99" t="s">
        <v>1594</v>
      </c>
      <c r="V56" s="213" t="s">
        <v>57</v>
      </c>
      <c r="W56" s="99"/>
      <c r="X56" s="99"/>
      <c r="Y56" s="99"/>
      <c r="Z56" s="99"/>
    </row>
    <row r="57" spans="9:26" x14ac:dyDescent="0.2">
      <c r="I57" s="2">
        <v>44</v>
      </c>
      <c r="K57" s="164" t="s">
        <v>448</v>
      </c>
      <c r="L57" s="167" t="s">
        <v>3477</v>
      </c>
      <c r="M57" s="214"/>
      <c r="N57" s="165"/>
      <c r="O57" s="165"/>
      <c r="P57" s="165"/>
      <c r="Q57" s="165"/>
      <c r="R57" s="165"/>
      <c r="S57" s="165"/>
      <c r="T57" s="165"/>
      <c r="U57" s="165"/>
      <c r="V57" s="214"/>
      <c r="W57" s="165"/>
      <c r="X57" s="165"/>
      <c r="Y57" s="165"/>
      <c r="Z57" s="166"/>
    </row>
    <row r="58" spans="9:26" x14ac:dyDescent="0.2">
      <c r="I58" s="2">
        <v>45</v>
      </c>
      <c r="K58" s="164" t="s">
        <v>358</v>
      </c>
      <c r="L58" s="167" t="s">
        <v>3473</v>
      </c>
      <c r="M58" s="214"/>
      <c r="N58" s="165"/>
      <c r="O58" s="165"/>
      <c r="P58" s="165"/>
      <c r="Q58" s="165"/>
      <c r="R58" s="165"/>
      <c r="S58" s="165"/>
      <c r="T58" s="165"/>
      <c r="U58" s="165"/>
      <c r="V58" s="214"/>
      <c r="W58" s="165"/>
      <c r="X58" s="165"/>
      <c r="Y58" s="165"/>
      <c r="Z58" s="166"/>
    </row>
    <row r="59" spans="9:26" x14ac:dyDescent="0.2">
      <c r="I59" s="2">
        <v>46</v>
      </c>
      <c r="K59" s="98" t="s">
        <v>3468</v>
      </c>
      <c r="L59" s="99" t="s">
        <v>1709</v>
      </c>
      <c r="M59" s="213"/>
      <c r="N59" s="99"/>
      <c r="O59" s="99">
        <v>0</v>
      </c>
      <c r="P59" s="99">
        <v>0</v>
      </c>
      <c r="Q59" s="99">
        <v>0</v>
      </c>
      <c r="R59" s="99" t="s">
        <v>34</v>
      </c>
      <c r="S59" s="99" t="s">
        <v>3443</v>
      </c>
      <c r="T59" s="99" t="s">
        <v>589</v>
      </c>
      <c r="U59" s="99" t="s">
        <v>1594</v>
      </c>
      <c r="V59" s="213" t="s">
        <v>57</v>
      </c>
      <c r="W59" s="99"/>
      <c r="X59" s="99"/>
      <c r="Y59" s="99"/>
      <c r="Z59" s="99"/>
    </row>
    <row r="60" spans="9:26" x14ac:dyDescent="0.2">
      <c r="I60" s="2">
        <v>47</v>
      </c>
      <c r="K60" s="164" t="s">
        <v>448</v>
      </c>
      <c r="L60" s="167" t="s">
        <v>3478</v>
      </c>
      <c r="M60" s="214"/>
      <c r="N60" s="165"/>
      <c r="O60" s="165"/>
      <c r="P60" s="165"/>
      <c r="Q60" s="165"/>
      <c r="R60" s="165"/>
      <c r="S60" s="165"/>
      <c r="T60" s="165"/>
      <c r="U60" s="165"/>
      <c r="V60" s="214"/>
      <c r="W60" s="165"/>
      <c r="X60" s="165"/>
      <c r="Y60" s="165"/>
      <c r="Z60" s="166"/>
    </row>
    <row r="61" spans="9:26" x14ac:dyDescent="0.2">
      <c r="I61" s="2">
        <v>48</v>
      </c>
      <c r="K61" s="164" t="s">
        <v>358</v>
      </c>
      <c r="L61" s="167" t="s">
        <v>3475</v>
      </c>
      <c r="M61" s="214"/>
      <c r="N61" s="165"/>
      <c r="O61" s="165"/>
      <c r="P61" s="165"/>
      <c r="Q61" s="165"/>
      <c r="R61" s="165"/>
      <c r="S61" s="165"/>
      <c r="T61" s="165"/>
      <c r="U61" s="165"/>
      <c r="V61" s="214"/>
      <c r="W61" s="165"/>
      <c r="X61" s="165"/>
      <c r="Y61" s="165"/>
      <c r="Z61" s="166"/>
    </row>
    <row r="62" spans="9:26" x14ac:dyDescent="0.2">
      <c r="I62" s="2">
        <v>49</v>
      </c>
      <c r="K62" s="98" t="s">
        <v>3469</v>
      </c>
      <c r="L62" s="99" t="s">
        <v>253</v>
      </c>
      <c r="M62" s="213"/>
      <c r="N62" s="99" t="s">
        <v>3449</v>
      </c>
      <c r="O62" s="99">
        <v>0</v>
      </c>
      <c r="P62" s="99">
        <v>0</v>
      </c>
      <c r="Q62" s="99">
        <v>0</v>
      </c>
      <c r="R62" s="99" t="s">
        <v>99</v>
      </c>
      <c r="S62" s="99" t="s">
        <v>3443</v>
      </c>
      <c r="T62" s="99" t="s">
        <v>589</v>
      </c>
      <c r="U62" s="99" t="s">
        <v>236</v>
      </c>
      <c r="V62" s="213" t="s">
        <v>57</v>
      </c>
      <c r="W62" s="99"/>
      <c r="X62" s="99"/>
      <c r="Y62" s="99"/>
      <c r="Z62" s="99"/>
    </row>
    <row r="63" spans="9:26" x14ac:dyDescent="0.2">
      <c r="I63" s="2">
        <v>50</v>
      </c>
      <c r="K63" s="164" t="s">
        <v>448</v>
      </c>
      <c r="L63" s="167"/>
      <c r="M63" s="214"/>
      <c r="N63" s="165"/>
      <c r="O63" s="165"/>
      <c r="P63" s="165"/>
      <c r="Q63" s="165"/>
      <c r="R63" s="165"/>
      <c r="S63" s="165"/>
      <c r="T63" s="165"/>
      <c r="U63" s="165"/>
      <c r="V63" s="214"/>
      <c r="W63" s="165"/>
      <c r="X63" s="165"/>
      <c r="Y63" s="165"/>
      <c r="Z63" s="166"/>
    </row>
    <row r="64" spans="9:26" x14ac:dyDescent="0.2">
      <c r="I64" s="2">
        <v>51</v>
      </c>
      <c r="K64" s="164" t="s">
        <v>358</v>
      </c>
      <c r="L64" s="167" t="s">
        <v>3052</v>
      </c>
      <c r="M64" s="214"/>
      <c r="N64" s="165"/>
      <c r="O64" s="165"/>
      <c r="P64" s="165"/>
      <c r="Q64" s="165"/>
      <c r="R64" s="165"/>
      <c r="S64" s="165"/>
      <c r="T64" s="165"/>
      <c r="U64" s="165"/>
      <c r="V64" s="214"/>
      <c r="W64" s="165"/>
      <c r="X64" s="165"/>
      <c r="Y64" s="165"/>
      <c r="Z64" s="166"/>
    </row>
    <row r="65" spans="9:26" x14ac:dyDescent="0.2">
      <c r="I65" s="2">
        <v>52</v>
      </c>
      <c r="K65" s="98" t="s">
        <v>3470</v>
      </c>
      <c r="L65" s="99" t="s">
        <v>253</v>
      </c>
      <c r="M65" s="213"/>
      <c r="N65" s="99" t="s">
        <v>3449</v>
      </c>
      <c r="O65" s="99">
        <v>0</v>
      </c>
      <c r="P65" s="99">
        <v>0</v>
      </c>
      <c r="Q65" s="99">
        <v>0</v>
      </c>
      <c r="R65" s="99" t="s">
        <v>99</v>
      </c>
      <c r="S65" s="99" t="s">
        <v>3443</v>
      </c>
      <c r="T65" s="99" t="s">
        <v>211</v>
      </c>
      <c r="U65" s="99" t="s">
        <v>236</v>
      </c>
      <c r="V65" s="213"/>
      <c r="W65" s="99" t="s">
        <v>57</v>
      </c>
      <c r="X65" s="99" t="s">
        <v>57</v>
      </c>
      <c r="Y65" s="99" t="s">
        <v>57</v>
      </c>
      <c r="Z65" s="99"/>
    </row>
    <row r="66" spans="9:26" x14ac:dyDescent="0.2">
      <c r="I66" s="2">
        <v>53</v>
      </c>
      <c r="K66" s="164" t="s">
        <v>448</v>
      </c>
      <c r="L66" s="167"/>
      <c r="M66" s="214"/>
      <c r="N66" s="165"/>
      <c r="O66" s="165"/>
      <c r="P66" s="165"/>
      <c r="Q66" s="165"/>
      <c r="R66" s="165"/>
      <c r="S66" s="165"/>
      <c r="T66" s="165"/>
      <c r="U66" s="165"/>
      <c r="V66" s="214"/>
      <c r="W66" s="165"/>
      <c r="X66" s="165"/>
      <c r="Y66" s="165"/>
      <c r="Z66" s="166"/>
    </row>
    <row r="67" spans="9:26" x14ac:dyDescent="0.2">
      <c r="I67" s="2">
        <v>54</v>
      </c>
      <c r="K67" s="164" t="s">
        <v>358</v>
      </c>
      <c r="L67" s="167" t="s">
        <v>3052</v>
      </c>
      <c r="M67" s="214"/>
      <c r="N67" s="165"/>
      <c r="O67" s="165"/>
      <c r="P67" s="165"/>
      <c r="Q67" s="165"/>
      <c r="R67" s="165"/>
      <c r="S67" s="165"/>
      <c r="T67" s="165"/>
      <c r="U67" s="165"/>
      <c r="V67" s="214"/>
      <c r="W67" s="165"/>
      <c r="X67" s="165"/>
      <c r="Y67" s="165"/>
      <c r="Z67" s="166"/>
    </row>
    <row r="68" spans="9:26" x14ac:dyDescent="0.2">
      <c r="I68" s="2">
        <v>55</v>
      </c>
      <c r="K68" s="98" t="s">
        <v>3471</v>
      </c>
      <c r="L68" s="99" t="s">
        <v>253</v>
      </c>
      <c r="M68" s="213"/>
      <c r="N68" s="99" t="s">
        <v>3450</v>
      </c>
      <c r="O68" s="99">
        <v>0</v>
      </c>
      <c r="P68" s="99">
        <v>0</v>
      </c>
      <c r="Q68" s="99">
        <v>0</v>
      </c>
      <c r="R68" s="99" t="s">
        <v>99</v>
      </c>
      <c r="S68" s="99" t="s">
        <v>3443</v>
      </c>
      <c r="T68" s="99" t="s">
        <v>589</v>
      </c>
      <c r="U68" s="99" t="s">
        <v>236</v>
      </c>
      <c r="V68" s="213" t="s">
        <v>57</v>
      </c>
      <c r="W68" s="99"/>
      <c r="X68" s="99"/>
      <c r="Y68" s="99"/>
      <c r="Z68" s="99"/>
    </row>
    <row r="69" spans="9:26" x14ac:dyDescent="0.2">
      <c r="I69" s="2">
        <v>56</v>
      </c>
      <c r="K69" s="164" t="s">
        <v>448</v>
      </c>
      <c r="L69" s="167"/>
      <c r="M69" s="214"/>
      <c r="N69" s="165"/>
      <c r="O69" s="165"/>
      <c r="P69" s="165"/>
      <c r="Q69" s="165"/>
      <c r="R69" s="165"/>
      <c r="S69" s="165"/>
      <c r="T69" s="165"/>
      <c r="U69" s="165"/>
      <c r="V69" s="214"/>
      <c r="W69" s="165"/>
      <c r="X69" s="165"/>
      <c r="Y69" s="165"/>
      <c r="Z69" s="166"/>
    </row>
    <row r="70" spans="9:26" x14ac:dyDescent="0.2">
      <c r="I70" s="2">
        <v>57</v>
      </c>
      <c r="K70" s="164" t="s">
        <v>358</v>
      </c>
      <c r="L70" s="167" t="s">
        <v>3052</v>
      </c>
      <c r="M70" s="214"/>
      <c r="N70" s="165"/>
      <c r="O70" s="165"/>
      <c r="P70" s="165"/>
      <c r="Q70" s="165"/>
      <c r="R70" s="165"/>
      <c r="S70" s="165"/>
      <c r="T70" s="165"/>
      <c r="U70" s="165"/>
      <c r="V70" s="214"/>
      <c r="W70" s="165"/>
      <c r="X70" s="165"/>
      <c r="Y70" s="165"/>
      <c r="Z70" s="166"/>
    </row>
    <row r="71" spans="9:26" x14ac:dyDescent="0.2">
      <c r="I71" s="2">
        <v>58</v>
      </c>
      <c r="K71" s="98" t="s">
        <v>3472</v>
      </c>
      <c r="L71" s="99" t="s">
        <v>253</v>
      </c>
      <c r="M71" s="213"/>
      <c r="N71" s="99" t="s">
        <v>3450</v>
      </c>
      <c r="O71" s="99">
        <v>0</v>
      </c>
      <c r="P71" s="99">
        <v>0</v>
      </c>
      <c r="Q71" s="99">
        <v>0</v>
      </c>
      <c r="R71" s="99" t="s">
        <v>99</v>
      </c>
      <c r="S71" s="99" t="s">
        <v>3443</v>
      </c>
      <c r="T71" s="99" t="s">
        <v>211</v>
      </c>
      <c r="U71" s="99" t="s">
        <v>236</v>
      </c>
      <c r="V71" s="213"/>
      <c r="W71" s="99" t="s">
        <v>57</v>
      </c>
      <c r="X71" s="99" t="s">
        <v>57</v>
      </c>
      <c r="Y71" s="99" t="s">
        <v>57</v>
      </c>
      <c r="Z71" s="99"/>
    </row>
    <row r="72" spans="9:26" x14ac:dyDescent="0.2">
      <c r="I72" s="2">
        <v>59</v>
      </c>
      <c r="K72" s="164" t="s">
        <v>448</v>
      </c>
      <c r="L72" s="167"/>
      <c r="M72" s="214"/>
      <c r="N72" s="165"/>
      <c r="O72" s="165"/>
      <c r="P72" s="165"/>
      <c r="Q72" s="165"/>
      <c r="R72" s="165"/>
      <c r="S72" s="165"/>
      <c r="T72" s="165"/>
      <c r="U72" s="165"/>
      <c r="V72" s="214"/>
      <c r="W72" s="165"/>
      <c r="X72" s="165"/>
      <c r="Y72" s="165"/>
      <c r="Z72" s="166"/>
    </row>
    <row r="73" spans="9:26" x14ac:dyDescent="0.2">
      <c r="I73" s="2">
        <v>60</v>
      </c>
      <c r="K73" s="164" t="s">
        <v>358</v>
      </c>
      <c r="L73" s="167" t="s">
        <v>3052</v>
      </c>
      <c r="M73" s="214"/>
      <c r="N73" s="165"/>
      <c r="O73" s="165"/>
      <c r="P73" s="165"/>
      <c r="Q73" s="165"/>
      <c r="R73" s="165"/>
      <c r="S73" s="165"/>
      <c r="T73" s="165"/>
      <c r="U73" s="165"/>
      <c r="V73" s="214"/>
      <c r="W73" s="165"/>
      <c r="X73" s="165"/>
      <c r="Y73" s="165"/>
      <c r="Z73" s="166"/>
    </row>
    <row r="74" spans="9:26" ht="5.25" customHeight="1" x14ac:dyDescent="0.2">
      <c r="K74" s="101"/>
      <c r="L74" s="100"/>
      <c r="M74" s="100"/>
      <c r="N74" s="100"/>
      <c r="O74" s="100"/>
      <c r="P74" s="100"/>
      <c r="Q74" s="100"/>
      <c r="R74" s="100"/>
      <c r="S74" s="100"/>
      <c r="T74" s="100"/>
      <c r="U74" s="100"/>
      <c r="V74" s="100"/>
      <c r="W74" s="100"/>
      <c r="X74" s="100"/>
      <c r="Y74" s="100"/>
      <c r="Z74" s="102"/>
    </row>
    <row r="75" spans="9:26" ht="8.25" customHeight="1" x14ac:dyDescent="0.2"/>
    <row r="76" spans="9:26" ht="12.75" x14ac:dyDescent="0.2">
      <c r="K76" s="356" t="s">
        <v>1499</v>
      </c>
      <c r="L76" s="357"/>
      <c r="M76" s="357"/>
      <c r="N76" s="357"/>
      <c r="O76" s="357"/>
      <c r="P76" s="357"/>
      <c r="Q76" s="357"/>
      <c r="R76" s="357"/>
      <c r="S76" s="189"/>
      <c r="T76" s="189"/>
      <c r="U76" s="189"/>
      <c r="V76" s="189"/>
      <c r="W76" s="189"/>
      <c r="X76" s="189"/>
      <c r="Y76" s="189"/>
      <c r="Z76" s="189"/>
    </row>
    <row r="77" spans="9:26" ht="15.75" customHeight="1" x14ac:dyDescent="0.2">
      <c r="K77" s="344" t="s">
        <v>1478</v>
      </c>
      <c r="L77" s="343"/>
      <c r="M77" s="343"/>
      <c r="N77" s="343"/>
      <c r="O77" s="343"/>
      <c r="P77" s="343"/>
      <c r="Q77" s="343"/>
      <c r="R77" s="343"/>
      <c r="S77" s="344" t="s">
        <v>1479</v>
      </c>
      <c r="T77" s="348"/>
      <c r="U77" s="349"/>
      <c r="V77" s="349"/>
      <c r="W77" s="344" t="s">
        <v>1480</v>
      </c>
      <c r="X77" s="349"/>
      <c r="Y77" s="349"/>
      <c r="Z77" s="349"/>
    </row>
    <row r="78" spans="9:26" ht="0.75" customHeight="1" x14ac:dyDescent="0.2">
      <c r="K78" s="189"/>
      <c r="L78" s="189"/>
      <c r="M78" s="189"/>
      <c r="N78" s="189"/>
      <c r="O78" s="190"/>
      <c r="P78" s="189"/>
      <c r="Q78" s="189"/>
      <c r="R78" s="189"/>
      <c r="S78" s="189"/>
      <c r="T78" s="189"/>
      <c r="U78" s="189"/>
      <c r="V78" s="191"/>
      <c r="W78" s="189"/>
      <c r="X78" s="189"/>
      <c r="Y78" s="189"/>
      <c r="Z78" s="189"/>
    </row>
    <row r="79" spans="9:26" ht="15" customHeight="1" x14ac:dyDescent="0.2">
      <c r="K79" s="344" t="s">
        <v>3261</v>
      </c>
      <c r="L79" s="343"/>
      <c r="M79" s="343"/>
      <c r="N79" s="343"/>
      <c r="O79" s="343"/>
      <c r="P79" s="343"/>
      <c r="Q79" s="343"/>
      <c r="R79" s="343"/>
      <c r="S79" s="344" t="s">
        <v>1479</v>
      </c>
      <c r="T79" s="348"/>
      <c r="U79" s="349"/>
      <c r="V79" s="349"/>
      <c r="W79" s="344" t="s">
        <v>1480</v>
      </c>
      <c r="X79" s="349"/>
      <c r="Y79" s="349"/>
      <c r="Z79" s="349"/>
    </row>
    <row r="80" spans="9:26" ht="1.5" customHeight="1" x14ac:dyDescent="0.2">
      <c r="K80" s="189"/>
      <c r="L80" s="189"/>
      <c r="M80" s="189"/>
      <c r="N80" s="189"/>
      <c r="O80" s="189"/>
      <c r="P80" s="189"/>
      <c r="Q80" s="189"/>
      <c r="R80" s="189"/>
      <c r="S80" s="189"/>
      <c r="T80" s="189"/>
      <c r="U80" s="189"/>
      <c r="V80" s="189"/>
      <c r="W80" s="189"/>
      <c r="X80" s="189"/>
      <c r="Y80" s="189"/>
      <c r="Z80" s="189"/>
    </row>
    <row r="81" spans="11:26" ht="15.75" customHeight="1" x14ac:dyDescent="0.2">
      <c r="K81" s="344" t="s">
        <v>3262</v>
      </c>
      <c r="L81" s="343"/>
      <c r="M81" s="343"/>
      <c r="N81" s="343"/>
      <c r="O81" s="343"/>
      <c r="P81" s="343"/>
      <c r="Q81" s="343"/>
      <c r="R81" s="343"/>
      <c r="S81" s="344" t="s">
        <v>1479</v>
      </c>
      <c r="T81" s="348"/>
      <c r="U81" s="349"/>
      <c r="V81" s="349"/>
      <c r="W81" s="344" t="s">
        <v>1480</v>
      </c>
      <c r="X81" s="349"/>
      <c r="Y81" s="349"/>
      <c r="Z81" s="349"/>
    </row>
    <row r="82" spans="11:26" ht="6" customHeight="1" x14ac:dyDescent="0.2">
      <c r="K82" s="346"/>
      <c r="L82" s="347"/>
      <c r="M82" s="347"/>
      <c r="N82" s="347"/>
      <c r="O82" s="347"/>
      <c r="P82" s="347"/>
      <c r="Q82" s="347"/>
      <c r="R82" s="347"/>
      <c r="S82" s="189"/>
      <c r="T82" s="189"/>
      <c r="U82" s="189"/>
      <c r="V82" s="189"/>
      <c r="W82" s="189"/>
      <c r="X82" s="189"/>
      <c r="Y82" s="189"/>
      <c r="Z82" s="189"/>
    </row>
    <row r="83" spans="11:26" ht="12.75" x14ac:dyDescent="0.2">
      <c r="K83" s="221" t="s">
        <v>1481</v>
      </c>
      <c r="L83" s="350" t="s">
        <v>3420</v>
      </c>
      <c r="M83" s="351"/>
      <c r="N83" s="351"/>
      <c r="O83" s="351"/>
      <c r="P83" s="351"/>
      <c r="Q83" s="351"/>
      <c r="R83" s="351"/>
      <c r="S83" s="351"/>
      <c r="T83" s="351"/>
      <c r="U83" s="351"/>
      <c r="V83" s="351"/>
      <c r="W83" s="249"/>
      <c r="X83" s="345" t="s">
        <v>3422</v>
      </c>
      <c r="Y83" s="249"/>
      <c r="Z83" s="249"/>
    </row>
    <row r="84" spans="11:26" ht="23.25" customHeight="1" x14ac:dyDescent="0.2">
      <c r="K84" s="345" t="s">
        <v>1488</v>
      </c>
      <c r="L84" s="345"/>
      <c r="M84" s="345"/>
      <c r="N84" s="345"/>
      <c r="O84" s="345"/>
      <c r="P84" s="345"/>
      <c r="Q84" s="345"/>
      <c r="R84" s="345"/>
      <c r="S84" s="345" t="s">
        <v>1489</v>
      </c>
      <c r="T84" s="345"/>
      <c r="U84" s="345" t="s">
        <v>1490</v>
      </c>
      <c r="V84" s="345"/>
      <c r="W84" s="345" t="s">
        <v>1491</v>
      </c>
      <c r="X84" s="345"/>
      <c r="Y84" s="345"/>
      <c r="Z84" s="345"/>
    </row>
    <row r="85" spans="11:26" ht="18" customHeight="1" x14ac:dyDescent="0.2">
      <c r="K85" s="192" t="s">
        <v>1482</v>
      </c>
      <c r="L85" s="192"/>
      <c r="M85" s="192" t="s">
        <v>1483</v>
      </c>
      <c r="N85" s="192"/>
      <c r="O85" s="192"/>
      <c r="P85" s="192"/>
      <c r="Q85" s="192"/>
      <c r="R85" s="192"/>
      <c r="S85" s="192" t="s">
        <v>1484</v>
      </c>
      <c r="T85" s="192"/>
      <c r="U85" s="192"/>
      <c r="V85" s="192"/>
      <c r="W85" s="344" t="s">
        <v>1485</v>
      </c>
      <c r="X85" s="344"/>
      <c r="Y85" s="344"/>
      <c r="Z85" s="344"/>
    </row>
    <row r="86" spans="11:26" ht="16.5" customHeight="1" x14ac:dyDescent="0.2">
      <c r="K86" s="189"/>
      <c r="L86" s="189"/>
      <c r="M86" s="345" t="s">
        <v>1486</v>
      </c>
      <c r="N86" s="345"/>
      <c r="O86" s="345"/>
      <c r="P86" s="345"/>
      <c r="Q86" s="345"/>
      <c r="R86" s="189"/>
      <c r="S86" s="345" t="s">
        <v>1487</v>
      </c>
      <c r="T86" s="345"/>
      <c r="U86" s="345"/>
      <c r="V86" s="345"/>
      <c r="W86" s="345"/>
      <c r="X86" s="345"/>
      <c r="Y86" s="345"/>
      <c r="Z86" s="345"/>
    </row>
    <row r="87" spans="11:26" ht="15" customHeight="1" x14ac:dyDescent="0.2">
      <c r="K87" s="220" t="s">
        <v>3419</v>
      </c>
      <c r="L87" s="189"/>
      <c r="M87" s="219"/>
      <c r="N87" s="219"/>
      <c r="O87" s="219"/>
      <c r="P87" s="219"/>
      <c r="Q87" s="219"/>
      <c r="R87" s="189"/>
      <c r="S87" s="219"/>
      <c r="T87" s="219"/>
      <c r="U87" s="219"/>
      <c r="V87" s="219"/>
      <c r="W87" s="219"/>
      <c r="X87" s="219"/>
      <c r="Y87" s="219"/>
      <c r="Z87" s="219"/>
    </row>
    <row r="88" spans="11:26" ht="6" customHeight="1" thickBot="1" x14ac:dyDescent="0.25">
      <c r="K88" s="196"/>
      <c r="L88" s="196"/>
      <c r="M88" s="197"/>
      <c r="N88" s="197"/>
      <c r="O88" s="197"/>
      <c r="P88" s="197"/>
      <c r="Q88" s="197"/>
      <c r="R88" s="196"/>
      <c r="S88" s="197"/>
      <c r="T88" s="197"/>
      <c r="U88" s="197"/>
      <c r="V88" s="197"/>
      <c r="W88" s="197"/>
      <c r="X88" s="197"/>
      <c r="Y88" s="197"/>
      <c r="Z88" s="197"/>
    </row>
    <row r="89" spans="11:26" ht="27.75" customHeight="1" x14ac:dyDescent="0.2">
      <c r="K89" s="346" t="s">
        <v>1500</v>
      </c>
      <c r="L89" s="347"/>
      <c r="M89" s="347"/>
      <c r="N89" s="347"/>
      <c r="O89" s="347"/>
      <c r="P89" s="347"/>
      <c r="Q89" s="347"/>
      <c r="R89" s="347"/>
      <c r="S89" s="193"/>
      <c r="T89" s="193"/>
      <c r="U89" s="193"/>
      <c r="V89" s="193"/>
      <c r="W89" s="193"/>
      <c r="X89" s="193"/>
      <c r="Y89" s="193"/>
      <c r="Z89" s="193"/>
    </row>
    <row r="90" spans="11:26" ht="15.75" customHeight="1" x14ac:dyDescent="0.2">
      <c r="K90" s="345" t="s">
        <v>1488</v>
      </c>
      <c r="L90" s="345"/>
      <c r="M90" s="345"/>
      <c r="N90" s="345"/>
      <c r="O90" s="345"/>
      <c r="P90" s="345"/>
      <c r="Q90" s="345"/>
      <c r="R90" s="345"/>
      <c r="S90" s="345" t="s">
        <v>1489</v>
      </c>
      <c r="T90" s="345"/>
      <c r="U90" s="345" t="s">
        <v>1490</v>
      </c>
      <c r="V90" s="345"/>
      <c r="W90" s="345" t="s">
        <v>1491</v>
      </c>
      <c r="X90" s="345"/>
      <c r="Y90" s="345"/>
      <c r="Z90" s="345"/>
    </row>
    <row r="91" spans="11:26" ht="17.25" customHeight="1" x14ac:dyDescent="0.2">
      <c r="K91" s="345" t="s">
        <v>1492</v>
      </c>
      <c r="L91" s="345"/>
      <c r="M91" s="345"/>
      <c r="N91" s="345"/>
      <c r="O91" s="345"/>
      <c r="P91" s="345"/>
      <c r="Q91" s="345"/>
      <c r="R91" s="345"/>
      <c r="S91" s="345"/>
      <c r="T91" s="345"/>
      <c r="U91" s="345"/>
      <c r="V91" s="345"/>
      <c r="W91" s="345"/>
      <c r="X91" s="345"/>
      <c r="Y91" s="345"/>
      <c r="Z91" s="345"/>
    </row>
    <row r="92" spans="11:26" ht="16.5" customHeight="1" x14ac:dyDescent="0.2">
      <c r="K92" s="345" t="s">
        <v>3423</v>
      </c>
      <c r="L92" s="249"/>
      <c r="M92" s="249"/>
      <c r="N92" s="249"/>
      <c r="O92" s="194"/>
      <c r="P92" s="343"/>
      <c r="Q92" s="343"/>
      <c r="R92" s="343"/>
      <c r="S92" s="343"/>
      <c r="T92" s="343"/>
      <c r="U92" s="343"/>
      <c r="V92" s="343"/>
      <c r="W92" s="343"/>
      <c r="X92" s="343"/>
      <c r="Y92" s="249"/>
      <c r="Z92" s="249"/>
    </row>
    <row r="93" spans="11:26" ht="15.75" customHeight="1" x14ac:dyDescent="0.2">
      <c r="K93" s="344" t="s">
        <v>3418</v>
      </c>
      <c r="L93" s="345"/>
      <c r="M93" s="345"/>
      <c r="N93" s="345"/>
      <c r="O93" s="345"/>
      <c r="P93" s="345"/>
      <c r="Q93" s="345"/>
      <c r="R93" s="345"/>
      <c r="S93" s="193"/>
      <c r="T93" s="193"/>
      <c r="U93" s="193"/>
      <c r="V93" s="193"/>
      <c r="W93" s="193"/>
      <c r="X93" s="193"/>
      <c r="Y93" s="193"/>
      <c r="Z93" s="193"/>
    </row>
    <row r="94" spans="11:26" ht="17.25" customHeight="1" x14ac:dyDescent="0.2">
      <c r="K94" s="344" t="s">
        <v>1493</v>
      </c>
      <c r="L94" s="345"/>
      <c r="M94" s="345"/>
      <c r="N94" s="345"/>
      <c r="O94" s="345"/>
      <c r="P94" s="345"/>
      <c r="Q94" s="345"/>
      <c r="R94" s="345" t="s">
        <v>3421</v>
      </c>
      <c r="S94" s="345"/>
      <c r="T94" s="345"/>
      <c r="U94" s="345"/>
      <c r="V94" s="345"/>
      <c r="W94" s="345" t="s">
        <v>1494</v>
      </c>
      <c r="X94" s="345"/>
      <c r="Y94" s="345"/>
      <c r="Z94" s="345"/>
    </row>
    <row r="95" spans="11:26" ht="18" customHeight="1" x14ac:dyDescent="0.2">
      <c r="K95" s="344" t="s">
        <v>1495</v>
      </c>
      <c r="L95" s="345"/>
      <c r="M95" s="345"/>
      <c r="N95" s="345"/>
      <c r="O95" s="345"/>
      <c r="P95" s="345"/>
      <c r="Q95" s="345"/>
      <c r="R95" s="195" t="s">
        <v>3263</v>
      </c>
      <c r="S95" s="193"/>
      <c r="T95" s="193"/>
      <c r="U95" s="193"/>
      <c r="V95" s="193"/>
      <c r="W95" s="193"/>
      <c r="X95" s="193"/>
      <c r="Y95" s="193"/>
      <c r="Z95" s="193"/>
    </row>
    <row r="96" spans="11:26" ht="18.75" customHeight="1" x14ac:dyDescent="0.2">
      <c r="K96" s="345" t="s">
        <v>1496</v>
      </c>
      <c r="L96" s="345"/>
      <c r="M96" s="345"/>
      <c r="N96" s="345"/>
      <c r="O96" s="345"/>
      <c r="P96" s="345"/>
      <c r="Q96" s="345"/>
      <c r="R96" s="345"/>
      <c r="S96" s="345"/>
      <c r="T96" s="345"/>
      <c r="U96" s="345"/>
      <c r="V96" s="345"/>
      <c r="W96" s="345"/>
      <c r="X96" s="345"/>
      <c r="Y96" s="345"/>
      <c r="Z96" s="345"/>
    </row>
    <row r="97" spans="9:9" ht="12.75" customHeight="1" x14ac:dyDescent="0.2"/>
    <row r="98" spans="9:9" ht="6.75" customHeight="1" x14ac:dyDescent="0.2"/>
    <row r="99" spans="9:9" ht="6.75" customHeight="1" x14ac:dyDescent="0.2"/>
    <row r="100" spans="9:9" x14ac:dyDescent="0.2">
      <c r="I100" s="2" t="s">
        <v>59</v>
      </c>
    </row>
  </sheetData>
  <sheetProtection password="BFBD" sheet="1" objects="1" scenarios="1"/>
  <mergeCells count="39">
    <mergeCell ref="N3:V3"/>
    <mergeCell ref="O4:U4"/>
    <mergeCell ref="O5:U5"/>
    <mergeCell ref="K79:R79"/>
    <mergeCell ref="S79:V79"/>
    <mergeCell ref="W79:Z79"/>
    <mergeCell ref="L10:M10"/>
    <mergeCell ref="Q7:S7"/>
    <mergeCell ref="K76:R76"/>
    <mergeCell ref="K77:R77"/>
    <mergeCell ref="S77:V77"/>
    <mergeCell ref="W77:Z77"/>
    <mergeCell ref="W85:Z85"/>
    <mergeCell ref="W84:Z84"/>
    <mergeCell ref="W81:Z81"/>
    <mergeCell ref="M86:Q86"/>
    <mergeCell ref="S86:Z86"/>
    <mergeCell ref="X83:Z83"/>
    <mergeCell ref="L83:W83"/>
    <mergeCell ref="K89:R89"/>
    <mergeCell ref="K81:R81"/>
    <mergeCell ref="S81:V81"/>
    <mergeCell ref="K84:R84"/>
    <mergeCell ref="S84:T84"/>
    <mergeCell ref="U84:V84"/>
    <mergeCell ref="K82:R82"/>
    <mergeCell ref="K90:R90"/>
    <mergeCell ref="S90:T90"/>
    <mergeCell ref="U90:V90"/>
    <mergeCell ref="W90:Z90"/>
    <mergeCell ref="K91:Z91"/>
    <mergeCell ref="P92:Z92"/>
    <mergeCell ref="K95:Q95"/>
    <mergeCell ref="K96:Z96"/>
    <mergeCell ref="K93:R93"/>
    <mergeCell ref="K94:Q94"/>
    <mergeCell ref="R94:V94"/>
    <mergeCell ref="W94:Z94"/>
    <mergeCell ref="K92:N92"/>
  </mergeCells>
  <phoneticPr fontId="0" type="noConversion"/>
  <pageMargins left="0.48" right="0.25" top="0.5" bottom="0.96" header="0.5" footer="0.5"/>
  <pageSetup scale="90" orientation="landscape" r:id="rId1"/>
  <headerFooter alignWithMargins="0">
    <oddFooter>&amp;LParameters crossed out by:________&amp;CCollector Initials (non-signature pages only):________&amp;R&amp;8Page &amp;P of &amp;N</oddFooter>
  </headerFooter>
  <drawing r:id="rId2"/>
  <legacyDrawing r:id="rId3"/>
  <controls>
    <mc:AlternateContent xmlns:mc="http://schemas.openxmlformats.org/markup-compatibility/2006">
      <mc:Choice Requires="x14">
        <control shapeId="14344" r:id="rId4" name="cmdMain">
          <controlPr defaultSize="0" print="0" autoLine="0" autoPict="0" r:id="rId5">
            <anchor>
              <from>
                <xdr:col>11</xdr:col>
                <xdr:colOff>295275</xdr:colOff>
                <xdr:row>7</xdr:row>
                <xdr:rowOff>66675</xdr:rowOff>
              </from>
              <to>
                <xdr:col>12</xdr:col>
                <xdr:colOff>419100</xdr:colOff>
                <xdr:row>9</xdr:row>
                <xdr:rowOff>47625</xdr:rowOff>
              </to>
            </anchor>
          </controlPr>
        </control>
      </mc:Choice>
      <mc:Fallback>
        <control shapeId="14344" r:id="rId4" name="cmdMain"/>
      </mc:Fallback>
    </mc:AlternateContent>
    <mc:AlternateContent xmlns:mc="http://schemas.openxmlformats.org/markup-compatibility/2006">
      <mc:Choice Requires="x14">
        <control shapeId="14343" r:id="rId6" name="cmdPrint">
          <controlPr defaultSize="0" print="0" autoLine="0" r:id="rId7">
            <anchor>
              <from>
                <xdr:col>10</xdr:col>
                <xdr:colOff>257175</xdr:colOff>
                <xdr:row>7</xdr:row>
                <xdr:rowOff>66675</xdr:rowOff>
              </from>
              <to>
                <xdr:col>11</xdr:col>
                <xdr:colOff>219075</xdr:colOff>
                <xdr:row>9</xdr:row>
                <xdr:rowOff>47625</xdr:rowOff>
              </to>
            </anchor>
          </controlPr>
        </control>
      </mc:Choice>
      <mc:Fallback>
        <control shapeId="14343" r:id="rId6" name="cmdPrin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X18"/>
  <sheetViews>
    <sheetView showGridLines="0" showRowColHeaders="0" topLeftCell="F1" workbookViewId="0">
      <selection activeCell="O2" sqref="O2"/>
    </sheetView>
  </sheetViews>
  <sheetFormatPr defaultColWidth="9.140625" defaultRowHeight="12.75" x14ac:dyDescent="0.2"/>
  <cols>
    <col min="1" max="5" width="9.140625" style="43" hidden="1" customWidth="1"/>
    <col min="6" max="6" width="2.5703125" style="43" customWidth="1"/>
    <col min="7" max="7" width="3.28515625" style="43" customWidth="1"/>
    <col min="8" max="8" width="4.140625" style="43" customWidth="1"/>
    <col min="9" max="9" width="16.5703125" style="43" customWidth="1"/>
    <col min="10" max="11" width="9.140625" style="43"/>
    <col min="12" max="12" width="3.5703125" style="43" customWidth="1"/>
    <col min="13" max="16" width="9.140625" style="43"/>
    <col min="17" max="17" width="10.5703125" style="43" customWidth="1"/>
    <col min="18" max="18" width="3.5703125" style="43" customWidth="1"/>
    <col min="19" max="19" width="2.28515625" style="43" customWidth="1"/>
    <col min="20" max="20" width="9.28515625" style="43" customWidth="1"/>
    <col min="21" max="21" width="5" style="43" hidden="1" customWidth="1"/>
    <col min="22" max="22" width="5.28515625" style="43" hidden="1" customWidth="1"/>
    <col min="23" max="23" width="5.5703125" style="43" hidden="1" customWidth="1"/>
    <col min="24" max="24" width="5.28515625" style="43" hidden="1" customWidth="1"/>
    <col min="25" max="16384" width="9.140625" style="43"/>
  </cols>
  <sheetData>
    <row r="1" spans="4:24" ht="46.5" customHeight="1" thickBot="1" x14ac:dyDescent="0.25">
      <c r="F1" s="84">
        <v>38744.415381944447</v>
      </c>
      <c r="H1" s="362" t="s">
        <v>417</v>
      </c>
      <c r="I1" s="362"/>
      <c r="J1" s="362"/>
      <c r="K1" s="362"/>
      <c r="L1" s="362"/>
      <c r="M1" s="362"/>
      <c r="N1" s="362"/>
      <c r="O1" s="362"/>
      <c r="P1" s="362"/>
      <c r="Q1" s="362"/>
    </row>
    <row r="2" spans="4:24" ht="13.5" thickBot="1" x14ac:dyDescent="0.25">
      <c r="D2" s="63"/>
      <c r="F2" s="61"/>
      <c r="G2" s="70"/>
      <c r="H2" s="71"/>
      <c r="I2" s="71"/>
      <c r="J2" s="71"/>
      <c r="K2" s="71"/>
      <c r="L2" s="71"/>
      <c r="M2" s="71"/>
      <c r="N2" s="71"/>
      <c r="O2" s="71"/>
      <c r="P2" s="71"/>
      <c r="Q2" s="71"/>
      <c r="R2" s="72"/>
    </row>
    <row r="3" spans="4:24" x14ac:dyDescent="0.2">
      <c r="G3" s="73"/>
      <c r="H3" s="44"/>
      <c r="I3" s="45"/>
      <c r="J3" s="45"/>
      <c r="K3" s="45"/>
      <c r="L3" s="46"/>
      <c r="M3" s="75"/>
      <c r="N3" s="75"/>
      <c r="O3" s="75"/>
      <c r="P3" s="75"/>
      <c r="Q3" s="75"/>
      <c r="R3" s="74"/>
      <c r="S3" s="65"/>
    </row>
    <row r="4" spans="4:24" x14ac:dyDescent="0.2">
      <c r="G4" s="73"/>
      <c r="H4" s="47"/>
      <c r="I4" s="361" t="s">
        <v>341</v>
      </c>
      <c r="J4" s="361"/>
      <c r="K4" s="361"/>
      <c r="L4" s="48"/>
      <c r="M4" s="75"/>
      <c r="N4" s="75"/>
      <c r="O4" s="75"/>
      <c r="P4" s="75"/>
      <c r="Q4" s="75"/>
      <c r="R4" s="74"/>
      <c r="S4" s="66"/>
    </row>
    <row r="5" spans="4:24" x14ac:dyDescent="0.2">
      <c r="D5" s="43" t="s">
        <v>116</v>
      </c>
      <c r="E5" s="43" t="s">
        <v>343</v>
      </c>
      <c r="G5" s="73"/>
      <c r="H5" s="47"/>
      <c r="I5" s="79" t="s">
        <v>74</v>
      </c>
      <c r="J5" s="79" t="s">
        <v>119</v>
      </c>
      <c r="K5" s="49"/>
      <c r="L5" s="48"/>
      <c r="M5" s="75"/>
      <c r="N5" s="75"/>
      <c r="O5" s="75"/>
      <c r="P5" s="75"/>
      <c r="Q5" s="75"/>
      <c r="R5" s="74"/>
      <c r="S5" s="66"/>
    </row>
    <row r="6" spans="4:24" x14ac:dyDescent="0.2">
      <c r="D6" s="43">
        <v>164</v>
      </c>
      <c r="E6" s="43">
        <v>137</v>
      </c>
      <c r="G6" s="73"/>
      <c r="H6" s="47"/>
      <c r="I6" s="80" t="s">
        <v>200</v>
      </c>
      <c r="J6" s="54">
        <v>25.76</v>
      </c>
      <c r="K6" s="49"/>
      <c r="L6" s="48"/>
      <c r="M6" s="75"/>
      <c r="N6" s="75"/>
      <c r="O6" s="75"/>
      <c r="P6" s="75"/>
      <c r="Q6" s="75"/>
      <c r="R6" s="74"/>
      <c r="S6" s="66"/>
    </row>
    <row r="7" spans="4:24" x14ac:dyDescent="0.2">
      <c r="D7" s="43">
        <v>161</v>
      </c>
      <c r="E7" s="43">
        <v>134</v>
      </c>
      <c r="G7" s="73"/>
      <c r="H7" s="47"/>
      <c r="I7" s="80" t="s">
        <v>198</v>
      </c>
      <c r="J7" s="64">
        <v>7.78</v>
      </c>
      <c r="K7" s="49"/>
      <c r="L7" s="48"/>
      <c r="M7" s="75"/>
      <c r="N7" s="75"/>
      <c r="O7" s="75"/>
      <c r="P7" s="75"/>
      <c r="Q7" s="75"/>
      <c r="R7" s="74"/>
      <c r="S7" s="66"/>
    </row>
    <row r="8" spans="4:24" x14ac:dyDescent="0.2">
      <c r="D8" s="43">
        <v>162</v>
      </c>
      <c r="E8" s="43">
        <v>136</v>
      </c>
      <c r="G8" s="73"/>
      <c r="H8" s="47"/>
      <c r="I8" s="80" t="s">
        <v>342</v>
      </c>
      <c r="J8" s="64">
        <v>874</v>
      </c>
      <c r="K8" s="49"/>
      <c r="L8" s="48"/>
      <c r="M8" s="75"/>
      <c r="N8" s="75"/>
      <c r="O8" s="75"/>
      <c r="P8" s="75"/>
      <c r="Q8" s="75"/>
      <c r="R8" s="74"/>
      <c r="S8" s="66"/>
    </row>
    <row r="9" spans="4:24" x14ac:dyDescent="0.2">
      <c r="D9" s="43">
        <v>163</v>
      </c>
      <c r="E9" s="43">
        <v>135</v>
      </c>
      <c r="G9" s="73"/>
      <c r="H9" s="47"/>
      <c r="I9" s="80" t="s">
        <v>77</v>
      </c>
      <c r="J9" s="64">
        <v>7.94</v>
      </c>
      <c r="K9" s="49"/>
      <c r="L9" s="48"/>
      <c r="M9" s="75"/>
      <c r="N9" s="75"/>
      <c r="O9" s="75"/>
      <c r="P9" s="75"/>
      <c r="Q9" s="75"/>
      <c r="R9" s="74"/>
      <c r="S9" s="66"/>
    </row>
    <row r="10" spans="4:24" x14ac:dyDescent="0.2">
      <c r="G10" s="73"/>
      <c r="H10" s="47"/>
      <c r="I10" s="53"/>
      <c r="J10" s="54"/>
      <c r="K10" s="49"/>
      <c r="L10" s="48"/>
      <c r="M10" s="75"/>
      <c r="N10" s="75"/>
      <c r="O10" s="75"/>
      <c r="P10" s="75"/>
      <c r="Q10" s="75"/>
      <c r="R10" s="74"/>
      <c r="S10" s="66"/>
      <c r="U10" s="135"/>
      <c r="V10" s="134" t="s">
        <v>485</v>
      </c>
      <c r="W10" s="134" t="s">
        <v>486</v>
      </c>
      <c r="X10" s="134" t="s">
        <v>487</v>
      </c>
    </row>
    <row r="11" spans="4:24" x14ac:dyDescent="0.2">
      <c r="G11" s="73"/>
      <c r="H11" s="47"/>
      <c r="I11" s="53"/>
      <c r="J11" s="54"/>
      <c r="K11" s="49"/>
      <c r="L11" s="48"/>
      <c r="M11" s="75"/>
      <c r="N11" s="75"/>
      <c r="O11" s="75"/>
      <c r="P11" s="75"/>
      <c r="Q11" s="75"/>
      <c r="R11" s="74"/>
      <c r="S11" s="66"/>
      <c r="U11" s="134" t="s">
        <v>488</v>
      </c>
      <c r="V11" s="134">
        <v>35</v>
      </c>
      <c r="W11" s="134">
        <v>10</v>
      </c>
      <c r="X11" s="134">
        <v>5</v>
      </c>
    </row>
    <row r="12" spans="4:24" x14ac:dyDescent="0.2">
      <c r="G12" s="73"/>
      <c r="H12" s="47"/>
      <c r="I12" s="53"/>
      <c r="J12" s="54"/>
      <c r="K12" s="49"/>
      <c r="L12" s="48"/>
      <c r="M12" s="75"/>
      <c r="N12" s="75"/>
      <c r="O12" s="75"/>
      <c r="P12" s="75"/>
      <c r="Q12" s="75"/>
      <c r="R12" s="74"/>
      <c r="S12" s="66"/>
      <c r="U12" s="134" t="s">
        <v>489</v>
      </c>
      <c r="V12" s="134">
        <v>14</v>
      </c>
      <c r="W12" s="134">
        <v>3</v>
      </c>
      <c r="X12" s="134">
        <v>2</v>
      </c>
    </row>
    <row r="13" spans="4:24" ht="13.5" thickBot="1" x14ac:dyDescent="0.25">
      <c r="G13" s="73"/>
      <c r="H13" s="50"/>
      <c r="I13" s="51"/>
      <c r="J13" s="51"/>
      <c r="K13" s="51"/>
      <c r="L13" s="52"/>
      <c r="M13" s="75"/>
      <c r="N13" s="75"/>
      <c r="O13" s="75"/>
      <c r="P13" s="75"/>
      <c r="Q13" s="75"/>
      <c r="R13" s="74"/>
      <c r="S13" s="66"/>
      <c r="U13" s="134" t="s">
        <v>490</v>
      </c>
      <c r="V13" s="134">
        <v>2000</v>
      </c>
      <c r="W13" s="134">
        <v>0</v>
      </c>
      <c r="X13" s="134">
        <v>500</v>
      </c>
    </row>
    <row r="14" spans="4:24" x14ac:dyDescent="0.2">
      <c r="G14" s="73"/>
      <c r="H14" s="75"/>
      <c r="I14" s="75"/>
      <c r="J14" s="75"/>
      <c r="K14" s="75"/>
      <c r="L14" s="75"/>
      <c r="M14" s="75"/>
      <c r="N14" s="75"/>
      <c r="O14" s="75"/>
      <c r="P14" s="75"/>
      <c r="Q14" s="75"/>
      <c r="R14" s="74"/>
      <c r="S14" s="66"/>
      <c r="U14" s="134" t="s">
        <v>77</v>
      </c>
      <c r="V14" s="134">
        <v>15</v>
      </c>
      <c r="W14" s="134">
        <v>0</v>
      </c>
      <c r="X14" s="134">
        <v>2</v>
      </c>
    </row>
    <row r="15" spans="4:24" x14ac:dyDescent="0.2">
      <c r="G15" s="73"/>
      <c r="H15" s="75"/>
      <c r="I15" s="75"/>
      <c r="J15" s="75"/>
      <c r="K15" s="75"/>
      <c r="L15" s="75"/>
      <c r="M15" s="75"/>
      <c r="N15" s="75"/>
      <c r="O15" s="75"/>
      <c r="P15" s="75"/>
      <c r="Q15" s="75"/>
      <c r="R15" s="74"/>
      <c r="S15" s="66"/>
    </row>
    <row r="16" spans="4:24" x14ac:dyDescent="0.2">
      <c r="G16" s="73"/>
      <c r="H16" s="75"/>
      <c r="I16" s="75"/>
      <c r="J16" s="75"/>
      <c r="K16" s="75"/>
      <c r="L16" s="75"/>
      <c r="M16" s="75"/>
      <c r="N16" s="75"/>
      <c r="O16" s="75"/>
      <c r="P16" s="75"/>
      <c r="Q16" s="75"/>
      <c r="R16" s="74"/>
      <c r="S16" s="66"/>
    </row>
    <row r="17" spans="7:19" ht="13.5" thickBot="1" x14ac:dyDescent="0.25">
      <c r="G17" s="76"/>
      <c r="H17" s="77"/>
      <c r="I17" s="77"/>
      <c r="J17" s="77"/>
      <c r="K17" s="77"/>
      <c r="L17" s="77"/>
      <c r="M17" s="77"/>
      <c r="N17" s="77"/>
      <c r="O17" s="77"/>
      <c r="P17" s="77"/>
      <c r="Q17" s="77"/>
      <c r="R17" s="78"/>
      <c r="S17" s="66"/>
    </row>
    <row r="18" spans="7:19" ht="15.75" customHeight="1" thickBot="1" x14ac:dyDescent="0.25">
      <c r="H18" s="67"/>
      <c r="I18" s="68"/>
      <c r="J18" s="68"/>
      <c r="K18" s="68"/>
      <c r="L18" s="68"/>
      <c r="M18" s="68"/>
      <c r="N18" s="68"/>
      <c r="O18" s="68"/>
      <c r="P18" s="68"/>
      <c r="Q18" s="68"/>
      <c r="R18" s="68"/>
      <c r="S18" s="69"/>
    </row>
  </sheetData>
  <sheetProtection password="BFBD" sheet="1" objects="1" scenarios="1"/>
  <mergeCells count="2">
    <mergeCell ref="I4:K4"/>
    <mergeCell ref="H1:Q1"/>
  </mergeCells>
  <phoneticPr fontId="0" type="noConversion"/>
  <pageMargins left="0.75" right="0.75" top="1" bottom="1" header="0.5" footer="0.5"/>
  <headerFooter alignWithMargins="0"/>
  <drawing r:id="rId1"/>
  <legacyDrawing r:id="rId2"/>
  <controls>
    <mc:AlternateContent xmlns:mc="http://schemas.openxmlformats.org/markup-compatibility/2006">
      <mc:Choice Requires="x14">
        <control shapeId="21512" r:id="rId3" name="cmdCancel">
          <controlPr locked="0" defaultSize="0" autoLine="0" r:id="rId4">
            <anchor moveWithCells="1">
              <from>
                <xdr:col>9</xdr:col>
                <xdr:colOff>552450</xdr:colOff>
                <xdr:row>13</xdr:row>
                <xdr:rowOff>76200</xdr:rowOff>
              </from>
              <to>
                <xdr:col>12</xdr:col>
                <xdr:colOff>0</xdr:colOff>
                <xdr:row>16</xdr:row>
                <xdr:rowOff>9525</xdr:rowOff>
              </to>
            </anchor>
          </controlPr>
        </control>
      </mc:Choice>
      <mc:Fallback>
        <control shapeId="21512" r:id="rId3" name="cmdCancel"/>
      </mc:Fallback>
    </mc:AlternateContent>
    <mc:AlternateContent xmlns:mc="http://schemas.openxmlformats.org/markup-compatibility/2006">
      <mc:Choice Requires="x14">
        <control shapeId="21505" r:id="rId5" name="cmdSend">
          <controlPr locked="0" defaultSize="0" autoLine="0" r:id="rId6">
            <anchor moveWithCells="1">
              <from>
                <xdr:col>8</xdr:col>
                <xdr:colOff>685800</xdr:colOff>
                <xdr:row>13</xdr:row>
                <xdr:rowOff>76200</xdr:rowOff>
              </from>
              <to>
                <xdr:col>9</xdr:col>
                <xdr:colOff>485775</xdr:colOff>
                <xdr:row>16</xdr:row>
                <xdr:rowOff>9525</xdr:rowOff>
              </to>
            </anchor>
          </controlPr>
        </control>
      </mc:Choice>
      <mc:Fallback>
        <control shapeId="21505" r:id="rId5" name="cmdSend"/>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A1D352A94AF4D44AE8E0B2E059EEAFE" ma:contentTypeVersion="14" ma:contentTypeDescription="Create a new document." ma:contentTypeScope="" ma:versionID="84f0cfa859d678ef2b131570a2353123">
  <xsd:schema xmlns:xsd="http://www.w3.org/2001/XMLSchema" xmlns:xs="http://www.w3.org/2001/XMLSchema" xmlns:p="http://schemas.microsoft.com/office/2006/metadata/properties" xmlns:ns2="a59002c2-3ea9-422d-b03a-3bc9df7a71c9" xmlns:ns3="ac4f0352-c535-4071-a712-9ac6dec98ae8" targetNamespace="http://schemas.microsoft.com/office/2006/metadata/properties" ma:root="true" ma:fieldsID="dae37bf0f3c223014e49771f93c3ea74" ns2:_="" ns3:_="">
    <xsd:import namespace="a59002c2-3ea9-422d-b03a-3bc9df7a71c9"/>
    <xsd:import namespace="ac4f0352-c535-4071-a712-9ac6dec98ae8"/>
    <xsd:element name="properties">
      <xsd:complexType>
        <xsd:sequence>
          <xsd:element name="documentManagement">
            <xsd:complexType>
              <xsd:all>
                <xsd:element ref="ns2:SharedWithUsers" minOccurs="0"/>
                <xsd:element ref="ns2:SharedWithDetails" minOccurs="0"/>
                <xsd:element ref="ns2:TaxKeywordTaxHTField" minOccurs="0"/>
                <xsd:element ref="ns2:TaxCatchAll" minOccurs="0"/>
                <xsd:element ref="ns2:LastSharedByUser" minOccurs="0"/>
                <xsd:element ref="ns2:LastSharedByTime"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9002c2-3ea9-422d-b03a-3bc9df7a71c9"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TaxKeywordTaxHTField" ma:index="11" nillable="true" ma:taxonomy="true" ma:internalName="TaxKeywordTaxHTField" ma:taxonomyFieldName="TaxKeyword" ma:displayName="Enterprise Keywords" ma:fieldId="{23f27201-bee3-471e-b2e7-b64fd8b7ca38}" ma:taxonomyMulti="true" ma:sspId="12185140-ecae-4b08-a6d3-e60ccb92ce03" ma:termSetId="00000000-0000-0000-0000-000000000000" ma:anchorId="00000000-0000-0000-0000-000000000000" ma:open="true" ma:isKeyword="true">
      <xsd:complexType>
        <xsd:sequence>
          <xsd:element ref="pc:Terms" minOccurs="0" maxOccurs="1"/>
        </xsd:sequence>
      </xsd:complexType>
    </xsd:element>
    <xsd:element name="TaxCatchAll" ma:index="12" nillable="true" ma:displayName="Taxonomy Catch All Column" ma:description="" ma:hidden="true" ma:list="{ef2f3f46-251f-4b29-9527-9807fa135bb0}" ma:internalName="TaxCatchAll" ma:showField="CatchAllData" ma:web="a59002c2-3ea9-422d-b03a-3bc9df7a71c9">
      <xsd:complexType>
        <xsd:complexContent>
          <xsd:extension base="dms:MultiChoiceLookup">
            <xsd:sequence>
              <xsd:element name="Value" type="dms:Lookup" maxOccurs="unbounded" minOccurs="0" nillable="true"/>
            </xsd:sequence>
          </xsd:extension>
        </xsd:complexContent>
      </xsd:complexType>
    </xsd:element>
    <xsd:element name="LastSharedByUser" ma:index="13" nillable="true" ma:displayName="Last Shared By User" ma:description="" ma:internalName="LastSharedByUser" ma:readOnly="true">
      <xsd:simpleType>
        <xsd:restriction base="dms:Note">
          <xsd:maxLength value="255"/>
        </xsd:restriction>
      </xsd:simpleType>
    </xsd:element>
    <xsd:element name="LastSharedByTime" ma:index="14"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c4f0352-c535-4071-a712-9ac6dec98ae8" elementFormDefault="qualified">
    <xsd:import namespace="http://schemas.microsoft.com/office/2006/documentManagement/types"/>
    <xsd:import namespace="http://schemas.microsoft.com/office/infopath/2007/PartnerControls"/>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KeywordTaxHTField xmlns="a59002c2-3ea9-422d-b03a-3bc9df7a71c9">
      <Terms xmlns="http://schemas.microsoft.com/office/infopath/2007/PartnerControls">
        <TermInfo xmlns="http://schemas.microsoft.com/office/infopath/2007/PartnerControls">
          <TermName xmlns="http://schemas.microsoft.com/office/infopath/2007/PartnerControls">Rev12</TermName>
          <TermId xmlns="http://schemas.microsoft.com/office/infopath/2007/PartnerControls">fa278e71-fd5e-47f2-b83b-c891ca772787</TermId>
        </TermInfo>
      </Terms>
    </TaxKeywordTaxHTField>
    <TaxCatchAll xmlns="a59002c2-3ea9-422d-b03a-3bc9df7a71c9">
      <Value>13</Value>
    </TaxCatchAll>
  </documentManagement>
</p:properties>
</file>

<file path=customXml/itemProps1.xml><?xml version="1.0" encoding="utf-8"?>
<ds:datastoreItem xmlns:ds="http://schemas.openxmlformats.org/officeDocument/2006/customXml" ds:itemID="{A982A535-F2C9-49DD-A4A5-29FBDEFF0245}">
  <ds:schemaRefs>
    <ds:schemaRef ds:uri="http://schemas.microsoft.com/sharepoint/v3/contenttype/forms"/>
  </ds:schemaRefs>
</ds:datastoreItem>
</file>

<file path=customXml/itemProps2.xml><?xml version="1.0" encoding="utf-8"?>
<ds:datastoreItem xmlns:ds="http://schemas.openxmlformats.org/officeDocument/2006/customXml" ds:itemID="{0A541CF5-08B9-489E-B83F-A2FC9F6A52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9002c2-3ea9-422d-b03a-3bc9df7a71c9"/>
    <ds:schemaRef ds:uri="ac4f0352-c535-4071-a712-9ac6dec98a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84D7809-AA12-484C-831F-6FC74F44AA57}">
  <ds:schemaRefs>
    <ds:schemaRef ds:uri="ac4f0352-c535-4071-a712-9ac6dec98ae8"/>
    <ds:schemaRef ds:uri="http://purl.org/dc/term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a59002c2-3ea9-422d-b03a-3bc9df7a71c9"/>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Intro</vt:lpstr>
      <vt:lpstr>Main</vt:lpstr>
      <vt:lpstr>Admin</vt:lpstr>
      <vt:lpstr>Temp</vt:lpstr>
      <vt:lpstr>Field Test Report</vt:lpstr>
      <vt:lpstr>Notebook</vt:lpstr>
      <vt:lpstr>Chain Of Custody</vt:lpstr>
      <vt:lpstr>HydroLab</vt:lpstr>
      <vt:lpstr>'Chain Of Custody'!Print_Area</vt:lpstr>
      <vt:lpstr>'Field Test Report'!Print_Area</vt:lpstr>
      <vt:lpstr>Notebook!Print_Area</vt:lpstr>
      <vt:lpstr>'Chain Of Custody'!Print_Titles</vt:lpstr>
      <vt:lpstr>'Field Test Report'!Print_Titles</vt:lpstr>
      <vt:lpstr>Notebook!Print_Titles</vt:lpstr>
    </vt:vector>
  </TitlesOfParts>
  <Company>ChemWare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HFDM</dc:title>
  <dc:creator>Tom Cole</dc:creator>
  <cp:keywords>Rev12</cp:keywords>
  <cp:lastModifiedBy>Powers, Matthew</cp:lastModifiedBy>
  <cp:lastPrinted>2016-06-07T13:07:59Z</cp:lastPrinted>
  <dcterms:created xsi:type="dcterms:W3CDTF">2002-04-10T15:02:25Z</dcterms:created>
  <dcterms:modified xsi:type="dcterms:W3CDTF">2018-11-14T19:14:04Z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0x010100DA1D352A94AF4D44AE8E0B2E059EEAFE</vt:lpwstr>
  </property>
  <property fmtid="{D5CDD505-2E9C-101B-9397-08002B2CF9AE}" pid="4" name="TaxKeyword">
    <vt:lpwstr>13;#Rev12|fa278e71-fd5e-47f2-b83b-c891ca772787</vt:lpwstr>
  </property>
</Properties>
</file>